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225" yWindow="195" windowWidth="20610" windowHeight="11520" tabRatio="730" activeTab="2"/>
  </bookViews>
  <sheets>
    <sheet name="Cover Page" sheetId="15" r:id="rId1"/>
    <sheet name="References" sheetId="16" r:id="rId2"/>
    <sheet name="RISK ASSESSMENT" sheetId="10" r:id="rId3"/>
    <sheet name="Risk reduction action plan" sheetId="13" r:id="rId4"/>
    <sheet name="GLD.017 Risk matrix" sheetId="21" r:id="rId5"/>
    <sheet name="BowTie - Example" sheetId="22" r:id="rId6"/>
    <sheet name="Sheet1" sheetId="23" r:id="rId7"/>
    <sheet name="Sheet2" sheetId="2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xlnm._FilterDatabase" localSheetId="2" hidden="1">'RISK ASSESSMENT'!$A$1:$A$163</definedName>
    <definedName name="_xlnm._FilterDatabase" localSheetId="7" hidden="1">Sheet2!$A$2:$AM$103</definedName>
    <definedName name="_gbp01">[1]Instructions!$G$27</definedName>
    <definedName name="_x3">'[2]Well Assumptions'!#REF!</definedName>
    <definedName name="_x5">'[2]Well Assumptions'!#REF!</definedName>
    <definedName name="_x6">'[2]Well Assumptions'!#REF!</definedName>
    <definedName name="_x7">'[2]Well Assumptions'!#REF!</definedName>
    <definedName name="_x8">'[2]Well Assumptions'!#REF!</definedName>
    <definedName name="_x9">'[2]Well Assumptions'!#REF!</definedName>
    <definedName name="a">'[2]Well Assumptions'!#REF!</definedName>
    <definedName name="BOE">'[3]Lifting Costs'!$B$4</definedName>
    <definedName name="BSFCase">'[4]CASE SELECTOR'!#REF!</definedName>
    <definedName name="BSFNCase">'[4]CASE SELECTOR'!#REF!</definedName>
    <definedName name="Case0">#REF!</definedName>
    <definedName name="Case1">#REF!</definedName>
    <definedName name="Case10">'[5]Well Assumptions'!#REF!</definedName>
    <definedName name="Case11">'[5]Well Assumptions'!#REF!</definedName>
    <definedName name="Case2">#REF!</definedName>
    <definedName name="Case2B">'[5]Well Assumptions'!#REF!</definedName>
    <definedName name="Case3">'[5]Well Assumptions'!#REF!</definedName>
    <definedName name="Case4A">'[5]Well Assumptions'!#REF!</definedName>
    <definedName name="Case4B">'[5]Well Assumptions'!#REF!</definedName>
    <definedName name="Case5">'[5]Well Assumptions'!#REF!</definedName>
    <definedName name="Case6">'[5]Well Assumptions'!#REF!</definedName>
    <definedName name="Case6A">'[5]Well Assumptions'!#REF!</definedName>
    <definedName name="Case6B">'[5]Well Assumptions'!#REF!</definedName>
    <definedName name="Case7">'[5]Well Assumptions'!#REF!</definedName>
    <definedName name="Case8">'[5]Well Assumptions'!#REF!</definedName>
    <definedName name="Case9A">'[5]Well Assumptions'!#REF!</definedName>
    <definedName name="Case9B">'[5]Well Assumptions'!#REF!</definedName>
    <definedName name="cateringfactorreduce">#REF!</definedName>
    <definedName name="conv_scf_m3">'[3]Lifting Costs'!$A$3</definedName>
    <definedName name="CostAnalysis">#REF!</definedName>
    <definedName name="CostArray">[6]CostingArray!#REF!</definedName>
    <definedName name="dataset">#REF!</definedName>
    <definedName name="DouglasCrewCosts">#REF!</definedName>
    <definedName name="gbp">[1]Instructions!$G$26</definedName>
    <definedName name="Impacts">#REF!</definedName>
    <definedName name="Liquid">'[7]Actual Data'!$A$232:$N$304</definedName>
    <definedName name="manpowerfactor">#REF!</definedName>
    <definedName name="Oil">'[8]Actual Data'!$A$7:$O$83</definedName>
    <definedName name="OSICrewCosts">#REF!</definedName>
    <definedName name="parecelsize">#REF!</definedName>
    <definedName name="POACrewCosts">#REF!</definedName>
    <definedName name="poundstodollars">'[3]Lifting Costs'!$B$5</definedName>
    <definedName name="_xlnm.Print_Area" localSheetId="5">'BowTie - Example'!$A$1:$AE$52</definedName>
    <definedName name="_xlnm.Print_Area" localSheetId="2">'RISK ASSESSMENT'!$A$2:$Q$58</definedName>
    <definedName name="_xlnm.Print_Titles" localSheetId="2">'RISK ASSESSMENT'!$1:$4</definedName>
    <definedName name="rateprofile">[9]RateProfiles!$A$1:$J$38</definedName>
    <definedName name="RODF6Case">'[4]CASE SELECTOR'!#REF!</definedName>
    <definedName name="RODTAG1Case">'[4]CASE SELECTOR'!#REF!</definedName>
    <definedName name="scf_to_cubic_m">'[3]Lifting Costs'!$B$3</definedName>
    <definedName name="SFNECase">'[4]CASE SELECTOR'!#REF!</definedName>
    <definedName name="Sheet_1" localSheetId="4">#REF!</definedName>
    <definedName name="Sheet_1">#REF!</definedName>
    <definedName name="Water">'[8]Actual Data'!$A$86:$O$163</definedName>
    <definedName name="x2b">'[2]Well Assumptions'!#REF!</definedName>
    <definedName name="x4a">'[2]Well Assumptions'!#REF!</definedName>
    <definedName name="x4b">'[2]Well Assumptions'!#REF!</definedName>
    <definedName name="x6a">'[2]Well Assumptions'!#REF!</definedName>
    <definedName name="x6b">'[2]Well Assumptions'!#REF!</definedName>
    <definedName name="x9b">'[2]Well Assumptions'!#REF!</definedName>
    <definedName name="xx">'[2]Well Assumptions'!#REF!</definedName>
    <definedName name="xxx">'[2]Well Assumptions'!#REF!</definedName>
    <definedName name="xxxxx">'[2]Well Assumptions'!#REF!</definedName>
  </definedNames>
  <calcPr calcId="145621"/>
</workbook>
</file>

<file path=xl/calcChain.xml><?xml version="1.0" encoding="utf-8"?>
<calcChain xmlns="http://schemas.openxmlformats.org/spreadsheetml/2006/main">
  <c r="N56" i="10" l="1"/>
  <c r="N57" i="10"/>
  <c r="N48" i="10"/>
  <c r="N39" i="10"/>
  <c r="N36" i="10"/>
  <c r="N30" i="10"/>
  <c r="N22" i="10"/>
  <c r="N14" i="10"/>
  <c r="N49" i="10"/>
  <c r="N77" i="24" l="1"/>
  <c r="N21" i="24"/>
  <c r="N25" i="24"/>
  <c r="N91" i="24"/>
  <c r="N48" i="24"/>
  <c r="N90" i="24"/>
  <c r="N24" i="24"/>
  <c r="N47" i="24"/>
  <c r="N68" i="24"/>
  <c r="N23" i="24"/>
  <c r="N89" i="24"/>
  <c r="N46" i="24"/>
  <c r="N26" i="24"/>
  <c r="N67" i="24"/>
  <c r="N88" i="24"/>
  <c r="N45" i="24"/>
  <c r="N44" i="24"/>
  <c r="N66" i="24"/>
  <c r="N65" i="24"/>
  <c r="N87" i="24"/>
  <c r="N22" i="24"/>
  <c r="N86" i="24"/>
  <c r="N64" i="24"/>
  <c r="N43" i="24"/>
  <c r="N85" i="24"/>
  <c r="N42" i="24"/>
  <c r="N41" i="24"/>
  <c r="N63" i="24"/>
  <c r="N84" i="24"/>
  <c r="N62" i="24"/>
  <c r="N20" i="24"/>
  <c r="N40" i="24"/>
  <c r="N61" i="24"/>
  <c r="N39" i="24"/>
  <c r="N83" i="24"/>
  <c r="N82" i="24"/>
  <c r="N19" i="24"/>
  <c r="N38" i="24"/>
  <c r="N60" i="24"/>
  <c r="N37" i="24"/>
  <c r="N18" i="24"/>
  <c r="N17" i="24"/>
  <c r="N59" i="24"/>
  <c r="N58" i="24"/>
  <c r="N16" i="24"/>
  <c r="N57" i="24"/>
  <c r="N81" i="24"/>
  <c r="N36" i="24"/>
  <c r="N15" i="24"/>
  <c r="N14" i="24"/>
  <c r="N13" i="24"/>
  <c r="N80" i="24"/>
  <c r="N12" i="24"/>
  <c r="N11" i="24"/>
  <c r="N56" i="24"/>
  <c r="N55" i="24"/>
  <c r="N79" i="24"/>
  <c r="N78" i="24"/>
  <c r="N10" i="24"/>
  <c r="N35" i="24"/>
  <c r="N54" i="24"/>
  <c r="N9" i="24"/>
  <c r="N76" i="24"/>
  <c r="N34" i="24"/>
  <c r="N33" i="24"/>
  <c r="N75" i="24"/>
  <c r="N74" i="24"/>
  <c r="N8" i="24"/>
  <c r="N32" i="24"/>
  <c r="N53" i="24"/>
  <c r="N6" i="24"/>
  <c r="N69" i="24"/>
  <c r="N73" i="24"/>
  <c r="N7" i="24"/>
  <c r="N31" i="24"/>
  <c r="N30" i="24"/>
  <c r="N72" i="24"/>
  <c r="N71" i="24"/>
  <c r="N29" i="24"/>
  <c r="N5" i="24"/>
  <c r="N4" i="24"/>
  <c r="N28" i="24"/>
  <c r="N52" i="24"/>
  <c r="N3" i="24"/>
  <c r="N27" i="24"/>
  <c r="N70" i="24"/>
  <c r="N51" i="24"/>
  <c r="A1" i="24"/>
  <c r="A4" i="16" l="1"/>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N25" i="10"/>
  <c r="N50" i="10"/>
  <c r="N43" i="10"/>
  <c r="N55" i="10"/>
  <c r="N54" i="10"/>
  <c r="N53" i="10"/>
  <c r="N52" i="10"/>
  <c r="N51" i="10"/>
  <c r="N47" i="10"/>
  <c r="N46" i="10"/>
  <c r="N45" i="10"/>
  <c r="N44" i="10"/>
  <c r="N42" i="10"/>
  <c r="N41" i="10"/>
  <c r="N40" i="10"/>
  <c r="N38" i="10"/>
  <c r="N37" i="10"/>
  <c r="N35" i="10"/>
  <c r="N34" i="10"/>
  <c r="N33" i="10"/>
  <c r="N32" i="10"/>
  <c r="N31" i="10"/>
  <c r="N29" i="10"/>
  <c r="N28" i="10"/>
  <c r="N27" i="10"/>
  <c r="N26" i="10"/>
  <c r="N24" i="10"/>
  <c r="N23" i="10"/>
  <c r="N21" i="10"/>
  <c r="N20" i="10"/>
  <c r="N19" i="10"/>
  <c r="N18" i="10"/>
  <c r="N17" i="10"/>
  <c r="N16" i="10"/>
  <c r="N15" i="10"/>
  <c r="N12" i="10"/>
  <c r="N13" i="10"/>
  <c r="N11" i="10"/>
  <c r="N10" i="10"/>
  <c r="N9" i="10"/>
  <c r="N8" i="10"/>
  <c r="N6" i="10"/>
  <c r="N7" i="10"/>
  <c r="N19" i="22" l="1"/>
  <c r="A2" i="10" l="1"/>
  <c r="N1" i="10" l="1"/>
  <c r="D1" i="13" l="1"/>
</calcChain>
</file>

<file path=xl/comments1.xml><?xml version="1.0" encoding="utf-8"?>
<comments xmlns="http://schemas.openxmlformats.org/spreadsheetml/2006/main">
  <authors>
    <author>sallyannerinehart</author>
  </authors>
  <commentList>
    <comment ref="I3" authorId="0">
      <text>
        <r>
          <rPr>
            <b/>
            <sz val="8"/>
            <color indexed="81"/>
            <rFont val="Tahoma"/>
            <family val="2"/>
          </rPr>
          <t>sallyannerinehart:</t>
        </r>
        <r>
          <rPr>
            <sz val="8"/>
            <color indexed="81"/>
            <rFont val="Tahoma"/>
            <family val="2"/>
          </rPr>
          <t xml:space="preserve">
references to be amended over coming week</t>
        </r>
      </text>
    </comment>
  </commentList>
</comments>
</file>

<file path=xl/sharedStrings.xml><?xml version="1.0" encoding="utf-8"?>
<sst xmlns="http://schemas.openxmlformats.org/spreadsheetml/2006/main" count="1802" uniqueCount="954">
  <si>
    <t>Position</t>
  </si>
  <si>
    <t>Date:</t>
  </si>
  <si>
    <t>Description</t>
  </si>
  <si>
    <t>Actioned By When</t>
  </si>
  <si>
    <t>Issue #</t>
  </si>
  <si>
    <t>New Actions / Further Requirements</t>
  </si>
  <si>
    <t>Action</t>
  </si>
  <si>
    <t>Responsiblility</t>
  </si>
  <si>
    <t>Due Date</t>
  </si>
  <si>
    <t>Hazard/
Aspect</t>
  </si>
  <si>
    <t>Current Controls</t>
  </si>
  <si>
    <t>Physical Site:</t>
  </si>
  <si>
    <t xml:space="preserve">Department: </t>
  </si>
  <si>
    <t>Area:</t>
  </si>
  <si>
    <t xml:space="preserve">Other References:
Documents/Photographs: </t>
  </si>
  <si>
    <t>Ref.</t>
  </si>
  <si>
    <t>Number</t>
  </si>
  <si>
    <t>Title</t>
  </si>
  <si>
    <t>Actioned by Who?
(Name and Surname)</t>
  </si>
  <si>
    <t xml:space="preserve">BHPB IRON ORE RISK REGISTER COVER PAGE
</t>
  </si>
  <si>
    <t xml:space="preserve">Reference documents included in the Risk Assessment workshop
</t>
  </si>
  <si>
    <t>Severity Factor</t>
  </si>
  <si>
    <t>Likelihood Factor</t>
  </si>
  <si>
    <t>RRR</t>
  </si>
  <si>
    <t>Residual Risk</t>
  </si>
  <si>
    <t>Risk Assessment Event</t>
  </si>
  <si>
    <t xml:space="preserve">Likelihood </t>
  </si>
  <si>
    <t>Severity</t>
  </si>
  <si>
    <t>DO NOT REMOVE</t>
  </si>
  <si>
    <t>No</t>
  </si>
  <si>
    <t xml:space="preserve"> </t>
  </si>
  <si>
    <t>First Name</t>
  </si>
  <si>
    <t>Last Name</t>
  </si>
  <si>
    <t>List of Risk Assessment Attendees:</t>
  </si>
  <si>
    <t>AMENDMENTS</t>
  </si>
  <si>
    <t>Version</t>
  </si>
  <si>
    <t>Revised By</t>
  </si>
  <si>
    <t>Approved By</t>
  </si>
  <si>
    <t>Reason for change</t>
  </si>
  <si>
    <t>Authorisation of Risk Assessment:</t>
  </si>
  <si>
    <t>Reviewed By</t>
  </si>
  <si>
    <t>Comments / Feedback / Amendments</t>
  </si>
  <si>
    <t>Date</t>
  </si>
  <si>
    <t>Preventive Controls</t>
  </si>
  <si>
    <t>Mitigating Controls</t>
  </si>
  <si>
    <t>MFL Level</t>
  </si>
  <si>
    <t>Basis for MFL</t>
  </si>
  <si>
    <t>Entered in to 1SAP</t>
  </si>
  <si>
    <t>Yes</t>
  </si>
  <si>
    <t xml:space="preserve"> Date</t>
  </si>
  <si>
    <t>Comments / Progress</t>
  </si>
  <si>
    <t>Status</t>
  </si>
  <si>
    <t>Install/Repair "Hungry" boards</t>
  </si>
  <si>
    <t>Working at Heights</t>
  </si>
  <si>
    <t>Fall from height to ground</t>
  </si>
  <si>
    <t>Single Fatality</t>
  </si>
  <si>
    <t>There are maximum 2 people working at any given time and therefore, most plausible scenario is a single fatality.</t>
  </si>
  <si>
    <t xml:space="preserve">1. Work at Height Task Management -
Work at heights activities identified at work planning, controls identified and resourced  
2. Work at Height Equipment Management -
Ladders, Work Platforms, Mobile Equipment (EWP, Scissor Lift) and Scaffolds designed, inspected and maintained to BHPBIO standards    
3. Fall Injury Prevention System
Fall Injury Prevention equipment registered, tagged, inspected, worn and/or attached correctly prior to use.
</t>
  </si>
  <si>
    <t xml:space="preserve">Work at Height Rescue Plan  in place and resources available </t>
  </si>
  <si>
    <t>Install temporary steps with handrails and handrails at the back of the tray.</t>
  </si>
  <si>
    <t>Failure of EWP - mechanical/hydraulic failure, toppling due to unstable ground conditions or high winds.     
Scaffold collapse - loosening of components (vibration and product build up) and/or during building and dismantling of scaffold structure, modification without approval.</t>
  </si>
  <si>
    <t>1SAP Notification number</t>
  </si>
  <si>
    <t xml:space="preserve">Risk Assessment Scope:
(Boundary of assessment/Subject) </t>
  </si>
  <si>
    <r>
      <t xml:space="preserve">Risk Assessment type:
</t>
    </r>
    <r>
      <rPr>
        <b/>
        <sz val="9"/>
        <rFont val="Arial"/>
        <family val="2"/>
      </rPr>
      <t>(Work place risk assessment, Construction risk assessment, Corporate risk assessment)</t>
    </r>
  </si>
  <si>
    <t xml:space="preserve">Risk Redution Action Plan </t>
  </si>
  <si>
    <r>
      <t xml:space="preserve">Risk Assessment Title / Description: </t>
    </r>
    <r>
      <rPr>
        <b/>
        <i/>
        <sz val="10"/>
        <color theme="0" tint="-0.499984740745262"/>
        <rFont val="Arial"/>
        <family val="2"/>
      </rPr>
      <t>(i.e., Mining Dept risk register)</t>
    </r>
  </si>
  <si>
    <t>Site / Department:</t>
  </si>
  <si>
    <t>BOW-TIE DIAGRAM</t>
  </si>
  <si>
    <t>DATE:</t>
  </si>
  <si>
    <t>CONTROL STATUS:</t>
  </si>
  <si>
    <t>Effective</t>
  </si>
  <si>
    <t>RISK OWNER:</t>
  </si>
  <si>
    <t>RISK ISSUE: (RISK SOURCE)</t>
  </si>
  <si>
    <t xml:space="preserve">Lifting </t>
  </si>
  <si>
    <t>CAUSES</t>
  </si>
  <si>
    <t xml:space="preserve">  IMPACTS</t>
  </si>
  <si>
    <t>Mechanical failure of crane</t>
  </si>
  <si>
    <t>Fatality</t>
  </si>
  <si>
    <t>Unauthorised modifications to crane</t>
  </si>
  <si>
    <t>Equipment damage</t>
  </si>
  <si>
    <t>Loss of production</t>
  </si>
  <si>
    <t>Ground / foundation failure</t>
  </si>
  <si>
    <t>Another piece of equipment/load enters in path of moving load</t>
  </si>
  <si>
    <t>Failure to control movement of crane</t>
  </si>
  <si>
    <t>Failure of lifting equipment (slings, chains, hooks)</t>
  </si>
  <si>
    <t>Poor rigging/slinging of load</t>
  </si>
  <si>
    <t>Load becomes entangled/caught on structure or strikes structure</t>
  </si>
  <si>
    <t>Uneven loads between two cranes</t>
  </si>
  <si>
    <t>LIKELIHOOD</t>
  </si>
  <si>
    <t>MFL</t>
  </si>
  <si>
    <t xml:space="preserve">Sudden crane movements
</t>
  </si>
  <si>
    <t>SEVERITY</t>
  </si>
  <si>
    <t>FATALITIES</t>
  </si>
  <si>
    <t>US$M</t>
  </si>
  <si>
    <t>EXISTING PREVENTIVE CONTROLS</t>
  </si>
  <si>
    <t>LINK TO CAUSES</t>
  </si>
  <si>
    <t>C/C</t>
  </si>
  <si>
    <t>CONTROL OWNER</t>
  </si>
  <si>
    <t xml:space="preserve">   EXISTING MITIGATING CONTROLS</t>
  </si>
  <si>
    <t>LINK TO IMPACTS</t>
  </si>
  <si>
    <t>Crane Inspection and Maintenance</t>
  </si>
  <si>
    <t>Y</t>
  </si>
  <si>
    <t>EMERGENCY RESPONSE</t>
  </si>
  <si>
    <t>Pre lift assessment and control of lift area</t>
  </si>
  <si>
    <t>Lifting gear inspection</t>
  </si>
  <si>
    <t>Crane Operation Controls</t>
  </si>
  <si>
    <t>Lifting Training and Competency</t>
  </si>
  <si>
    <t>Pre-job planning</t>
  </si>
  <si>
    <t>N</t>
  </si>
  <si>
    <t>Compacting ground where necessary</t>
  </si>
  <si>
    <t>Change of scope / operating conditions - Risk re-assessed</t>
  </si>
  <si>
    <t xml:space="preserve">   IMPROVEMENT TASKS</t>
  </si>
  <si>
    <t>DUE DATE</t>
  </si>
  <si>
    <t>TASK OWNER</t>
  </si>
  <si>
    <r>
      <rPr>
        <b/>
        <u/>
        <sz val="14"/>
        <rFont val="Arial"/>
        <family val="2"/>
      </rPr>
      <t>Justification</t>
    </r>
    <r>
      <rPr>
        <b/>
        <sz val="14"/>
        <rFont val="Arial"/>
        <family val="2"/>
      </rPr>
      <t xml:space="preserve"> </t>
    </r>
    <r>
      <rPr>
        <sz val="11"/>
        <rFont val="Arial"/>
        <family val="2"/>
      </rPr>
      <t xml:space="preserve">
</t>
    </r>
    <r>
      <rPr>
        <b/>
        <sz val="12"/>
        <rFont val="Arial"/>
        <family val="2"/>
      </rPr>
      <t xml:space="preserve">MFL:   </t>
    </r>
    <r>
      <rPr>
        <sz val="12"/>
        <rFont val="Arial"/>
        <family val="2"/>
      </rPr>
      <t>Single fatality based on the assumption that there will be</t>
    </r>
    <r>
      <rPr>
        <b/>
        <sz val="12"/>
        <rFont val="Arial"/>
        <family val="2"/>
      </rPr>
      <t xml:space="preserve"> </t>
    </r>
    <r>
      <rPr>
        <sz val="11"/>
        <rFont val="Arial"/>
        <family val="2"/>
      </rPr>
      <t xml:space="preserve"> not more than 2 people working and only 1 getting afftected.                                                                                                                                                                                                                               
</t>
    </r>
    <r>
      <rPr>
        <b/>
        <sz val="12"/>
        <rFont val="Arial"/>
        <family val="2"/>
      </rPr>
      <t xml:space="preserve">Severity:  </t>
    </r>
    <r>
      <rPr>
        <sz val="12"/>
        <rFont val="Arial"/>
        <family val="2"/>
      </rPr>
      <t xml:space="preserve">Level 4, with single fatality as a consequence after taking in to account all the controls in place.  </t>
    </r>
    <r>
      <rPr>
        <sz val="11"/>
        <rFont val="Arial"/>
        <family val="2"/>
      </rPr>
      <t xml:space="preserve">                                                                              
</t>
    </r>
    <r>
      <rPr>
        <b/>
        <sz val="12"/>
        <rFont val="Arial"/>
        <family val="2"/>
      </rPr>
      <t xml:space="preserve">Likelihood:  </t>
    </r>
    <r>
      <rPr>
        <sz val="12"/>
        <rFont val="Arial"/>
        <family val="2"/>
      </rPr>
      <t xml:space="preserve">This type of event could occur within 5 years period. </t>
    </r>
    <r>
      <rPr>
        <sz val="11"/>
        <rFont val="Arial"/>
        <family val="2"/>
      </rPr>
      <t xml:space="preserve">                                                                                                                              </t>
    </r>
  </si>
  <si>
    <t>1,2,3,7</t>
  </si>
  <si>
    <t>7,8,9</t>
  </si>
  <si>
    <t>1,2,3,4,5,6,7,8</t>
  </si>
  <si>
    <t>1-11</t>
  </si>
  <si>
    <t>4,5,6,8,10,11</t>
  </si>
  <si>
    <t>4,5,6,10,11</t>
  </si>
  <si>
    <t>1,2,3,4,5,6,9,10,11</t>
  </si>
  <si>
    <t>Risk Assessment Matrix (RRR)</t>
  </si>
  <si>
    <t>Overloading / overextending crane</t>
  </si>
  <si>
    <t>James</t>
  </si>
  <si>
    <t>Ward</t>
  </si>
  <si>
    <t>Track Supervisor</t>
  </si>
  <si>
    <t>Darren</t>
  </si>
  <si>
    <t>Wherry</t>
  </si>
  <si>
    <t>Schorer</t>
  </si>
  <si>
    <t>Sallyanne</t>
  </si>
  <si>
    <t>Rinehart</t>
  </si>
  <si>
    <t>HSE Manager</t>
  </si>
  <si>
    <t>Project Manager</t>
  </si>
  <si>
    <t>Philip</t>
  </si>
  <si>
    <t>Hunter</t>
  </si>
  <si>
    <t>Construction Manager</t>
  </si>
  <si>
    <t>David</t>
  </si>
  <si>
    <t>Hargreaves</t>
  </si>
  <si>
    <t>Approved for tender only - will need to be revised.</t>
  </si>
  <si>
    <t xml:space="preserve">PP-09-001 </t>
  </si>
  <si>
    <t>Contractor Selection &amp; Engagement</t>
  </si>
  <si>
    <t>PP-09-003</t>
  </si>
  <si>
    <t>PP-09-004</t>
  </si>
  <si>
    <t>PP-09-005</t>
  </si>
  <si>
    <t>PP-09-008</t>
  </si>
  <si>
    <t>PP-09-011</t>
  </si>
  <si>
    <t>PP-09-013</t>
  </si>
  <si>
    <t>PP-09-030</t>
  </si>
  <si>
    <t>PP-09-031</t>
  </si>
  <si>
    <t>PP-09-037</t>
  </si>
  <si>
    <t>PP-09-060</t>
  </si>
  <si>
    <t>PP-09-100</t>
  </si>
  <si>
    <t>Induction and Orientation</t>
  </si>
  <si>
    <t>Site Access &amp; Security</t>
  </si>
  <si>
    <t>Fitness for Work</t>
  </si>
  <si>
    <t>Medical, Injury and Illness Management</t>
  </si>
  <si>
    <t>Health and Safety Management Plan</t>
  </si>
  <si>
    <t>Training &amp; Competency</t>
  </si>
  <si>
    <t>Hazard and Risk Management</t>
  </si>
  <si>
    <t>Light Vehicles, Buses &amp; Mobile Plant</t>
  </si>
  <si>
    <t>Pressurized Equipment</t>
  </si>
  <si>
    <t>Light Vehicle Rollover Protection Requirements</t>
  </si>
  <si>
    <t>Mobilisation</t>
  </si>
  <si>
    <t>Selection of Personnel / Recruitment</t>
  </si>
  <si>
    <t>Not capturing all of the hazards and correct controls for the work on site within the JHA's and SWP's.</t>
  </si>
  <si>
    <t>Untrained/Inexperienced Personnel</t>
  </si>
  <si>
    <t>Training</t>
  </si>
  <si>
    <t>Non compliant light / heavy vehicles</t>
  </si>
  <si>
    <t xml:space="preserve">Mobilisation of personnel to site </t>
  </si>
  <si>
    <t>Inclement weather</t>
  </si>
  <si>
    <t>Loose / unsecured loads</t>
  </si>
  <si>
    <t>Unescorted trucks</t>
  </si>
  <si>
    <t>Delivery drivers not compliant with site requirements</t>
  </si>
  <si>
    <t>Hydrocarbon spill</t>
  </si>
  <si>
    <t>Mobilisation of plant / equipment to site</t>
  </si>
  <si>
    <t>Unsafe Loading and unloading</t>
  </si>
  <si>
    <t>Uneven / unprepared ground</t>
  </si>
  <si>
    <t>Unloading / Loading</t>
  </si>
  <si>
    <t>Inadequate lay down/storage area</t>
  </si>
  <si>
    <t>Working from back of truck bed - fall from heights</t>
  </si>
  <si>
    <t>Interaction with other contractors</t>
  </si>
  <si>
    <t>Mobile Plant/Vehicle/Pedestrian interface</t>
  </si>
  <si>
    <t>Incompetent operators</t>
  </si>
  <si>
    <t>Non compliant equipment</t>
  </si>
  <si>
    <t>Incorrect positioning of truck or crane</t>
  </si>
  <si>
    <t>Load exceeding SWL</t>
  </si>
  <si>
    <t>Lifting gear failure</t>
  </si>
  <si>
    <t>Travelling with load</t>
  </si>
  <si>
    <t>Adverse weather conditions</t>
  </si>
  <si>
    <t>Incompetent Operators</t>
  </si>
  <si>
    <t>Crane Operations</t>
  </si>
  <si>
    <t>Forklift Operations</t>
  </si>
  <si>
    <t>Inhalation of dust</t>
  </si>
  <si>
    <t>Uneven loads</t>
  </si>
  <si>
    <t>Underground services</t>
  </si>
  <si>
    <t>Excavations</t>
  </si>
  <si>
    <t>Development of SWP's, JHA's and CRAW</t>
  </si>
  <si>
    <t>Worker fatigue</t>
  </si>
  <si>
    <t>Alcohol and other drugs</t>
  </si>
  <si>
    <t>Workers fatigued - long travel and working days</t>
  </si>
  <si>
    <t>Impaired judgement and fitness for work</t>
  </si>
  <si>
    <t>Dust</t>
  </si>
  <si>
    <t>Noise</t>
  </si>
  <si>
    <t>Manual Handling</t>
  </si>
  <si>
    <t>Muscle strain / injury</t>
  </si>
  <si>
    <t>Noise induced hearing loss</t>
  </si>
  <si>
    <t>Hazardous substances</t>
  </si>
  <si>
    <t>Removal and disposal</t>
  </si>
  <si>
    <t>Working in heat, cold, rain</t>
  </si>
  <si>
    <t>Personnel not acclimatised to environment</t>
  </si>
  <si>
    <t>Hand and power tools</t>
  </si>
  <si>
    <t>Faulty / damaged tools</t>
  </si>
  <si>
    <t>Traffic movements within work site</t>
  </si>
  <si>
    <t>Camp / Accommodation</t>
  </si>
  <si>
    <t>Anti social behaviour</t>
  </si>
  <si>
    <t>Working in bush environment</t>
  </si>
  <si>
    <t>Snakes, spiders, bee bites etc</t>
  </si>
  <si>
    <t>Commuting to and from Camp</t>
  </si>
  <si>
    <t>Incompetent / inexperienced drivers</t>
  </si>
  <si>
    <t>Cyclones and storms</t>
  </si>
  <si>
    <t>RAIL WORKS</t>
  </si>
  <si>
    <t>Rail Mounted Mobile Plant/Mobile Plant/Vehicle/Pedestrian interface</t>
  </si>
  <si>
    <t>Sleeper Laying</t>
  </si>
  <si>
    <t>Embankments/Uneven ground</t>
  </si>
  <si>
    <t>Incorrect manual handling techniques and practices</t>
  </si>
  <si>
    <t>Unstable Sleeper Stacks</t>
  </si>
  <si>
    <t xml:space="preserve"> Laying of Rail</t>
  </si>
  <si>
    <t>Incompetent Welders</t>
  </si>
  <si>
    <t>Flames, Sparks from Welding, Cutting and Grinding</t>
  </si>
  <si>
    <t>Incompetent Operator</t>
  </si>
  <si>
    <t>Ballasting</t>
  </si>
  <si>
    <t>Incompetent Ballast Train Operator</t>
  </si>
  <si>
    <t>Ballast Train/Mobile Plant/Vehicle/Pedestrian interface</t>
  </si>
  <si>
    <t>Faulty Ballast Train &amp; Mobile Plant</t>
  </si>
  <si>
    <t>Tamping and Regulating</t>
  </si>
  <si>
    <t>Incompetent Tamper/Regulator Operator</t>
  </si>
  <si>
    <t>Tamper/Regulator/Mobile Plant/Vehicle/Pedestrian interface</t>
  </si>
  <si>
    <t>Faulty Tamper/Regulator/Mobile Plant</t>
  </si>
  <si>
    <t xml:space="preserve">TBA </t>
  </si>
  <si>
    <t xml:space="preserve">Single fatality 
Minor Infrastructure damage </t>
  </si>
  <si>
    <t xml:space="preserve">Loss of employment and income 
Relationship breakdown 
FIFO worker 
Isolation 
Loss of family members and friends </t>
  </si>
  <si>
    <t xml:space="preserve">Single fatality 
Property damage </t>
  </si>
  <si>
    <t xml:space="preserve">Multiple fatality 
Property damage / Loss  
Environmental damage / loss </t>
  </si>
  <si>
    <t xml:space="preserve">Floods
Storm damage
 Loss of  productivity
Environmental damage
Infrastructure damage
Loss of life ( Human &amp; Animals) 
Community damage / loss 
</t>
  </si>
  <si>
    <t xml:space="preserve">Environmental damage
    </t>
  </si>
  <si>
    <t xml:space="preserve">Multiple fatality 
Property damage / Loss  
Environmental damage / loss 
Financial loss 
Project delay 
Breaches of state laws, acts and Regulations </t>
  </si>
  <si>
    <t xml:space="preserve">PEAHR breaches 
Environmental breaches  of state law Acts &amp; regulations
Breaches of transport state law regulations 
Project delay  and finicial penalties  
Chemical spills effecting land /Marine environment    
Community impact
Explosion and uncontrolled release of toxic substances  </t>
  </si>
  <si>
    <t xml:space="preserve">Environmental damage / loss 
 Financial penalties
Project delays 
Community impact 
Fire &amp; explosion
Uncontrolled release of toxic substances
Pollution of the environment , land and marine  
Multiple fatalities  </t>
  </si>
  <si>
    <t xml:space="preserve">Poor planning 
Sicificient survey report 
Inclement weather 
Compaction test  not completed 
Scope of works not adhered to 
Poor supervision 
</t>
  </si>
  <si>
    <t xml:space="preserve">Single  fatality 
Property damage / Loss  
Environmental damage / loss 
Financial loss 
Project delay </t>
  </si>
  <si>
    <t xml:space="preserve">Single Fatality 
Project delay
Infrastructure damage 
Legerslative Reportable incident 
Financial loss 
Plant / truck  rollover 
Insurficient risk assessment 
</t>
  </si>
  <si>
    <t xml:space="preserve">
Incorrect equipment
Untrained and not  VOC'd  personnel
No risk assessment completed 
No audits / checks  undertaken 
No  loading / unloading procedures implemented 
No civil works to stablise ground 
  </t>
  </si>
  <si>
    <t xml:space="preserve">Incorrect storage facilities
No high risk training or VOC assessments 
No PEAHR review completed 
Inadequate or no  risk assessment 
Poor planning 
</t>
  </si>
  <si>
    <t xml:space="preserve">Vehicle  &amp; plant collision 
Dropped objects
Chemical spills 
Fire &amp; explosion  
Environmental incident 
</t>
  </si>
  <si>
    <t xml:space="preserve"> 
Property damage / Loss  
Environmental damage / loss 
Breaches of state laws, acts and Regulations </t>
  </si>
  <si>
    <t xml:space="preserve">
Untrained and not  VOC'd  personnel
No risk assessment completed 
No audits / checks  undertaken 
No  loading / unloading procedures implemented 
  </t>
  </si>
  <si>
    <t xml:space="preserve"> Workers compensation claim 
Family impacted 
Financial loss
</t>
  </si>
  <si>
    <t xml:space="preserve">FAC injury 
Minor plant damage 
</t>
  </si>
  <si>
    <t xml:space="preserve"> Lifting and rigging gear not compliant 
Daily  gear check not undertaken 
Poor training and absent VOC process 
HR recruitment process inadequate 
</t>
  </si>
  <si>
    <t xml:space="preserve">CM 
PM 
Safety </t>
  </si>
  <si>
    <t xml:space="preserve"> Minor equipment and property damage 
FAC injury
</t>
  </si>
  <si>
    <t xml:space="preserve">Poor planning 
Poor supervision
Inadequate risk assessment  
</t>
  </si>
  <si>
    <t xml:space="preserve">No risk assessment completed 
No audits, inspection  / checks  undertaken
  </t>
  </si>
  <si>
    <t xml:space="preserve">Single   fatalities 
Property damage / Loss  
Environmental damage / loss 
Financial loss 
Project delay </t>
  </si>
  <si>
    <t xml:space="preserve"> Correct surveying of area  
Correct planning 
Risk assessments completed 
Trained and VOC competent personnel 
Civil works completed to required standard  
</t>
  </si>
  <si>
    <t xml:space="preserve">No tag lines to secure load
No TMP in place 
Poor communications / spotter 
Uneven ground / surface 
No  power line vicinity permits in place 
No risk assessments in place 
</t>
  </si>
  <si>
    <t xml:space="preserve">Tag lines and dogman  to secure load whist travelling load 
 TMP in place 
Positive  communications 
Uneven ground / surface to be surveyed prior to  
No  power line vicinity permits in place 
No risk assessments in place 
</t>
  </si>
  <si>
    <t xml:space="preserve">Tag lines and dogman  to secure load whist travelling load 
TMP in place 
Positive  communications 
Uneven ground / surface to be surveyed prior to  
No  power line vicinity permits in place 
No risk assessments in place 
</t>
  </si>
  <si>
    <t xml:space="preserve">FAC 
Minor property damage 
</t>
  </si>
  <si>
    <t xml:space="preserve">Pedestrians hit by plant &amp; equipment   
Loss of human life 
</t>
  </si>
  <si>
    <t xml:space="preserve">Injury / Illness  ,  dust inhalation causing chest infection 
</t>
  </si>
  <si>
    <t xml:space="preserve">Minor dust suppression required 
</t>
  </si>
  <si>
    <t xml:space="preserve">Loss of human life 
Dropped objects 
Chemical spill 
Property damage  
</t>
  </si>
  <si>
    <t xml:space="preserve">Single fatality 
Property damage / Loss  
Environmental damage / loss 
Financial loss 
</t>
  </si>
  <si>
    <t xml:space="preserve">Minor   Infrastructure damage 
Plant breakdown 
</t>
  </si>
  <si>
    <t xml:space="preserve"> No Site survey prior to commencing task 
No dial before you dig permission  obtained prior to commencing work
No service locator used and red lined before excavation 
No pre-planning undertaken 
No risk assessment 
</t>
  </si>
  <si>
    <t xml:space="preserve">Not containing  chemical spills in to natural course waterways 
Not following environmental procedure
Personnel unaware of PEAHR requirments 
Personnel not trained  spill response 
Contractor not approved or licenced  to transport to carry hazardous materials 
No spill kits in place 
Chemical storage container not adequatly bunded 
</t>
  </si>
  <si>
    <t xml:space="preserve">Chemical management procedure not implemented 
Inadequate  training for personnel
Not using a registered contractor 
Hazardous materials being transported without appropreaite licences and approvals  
 Inadequate chemical storage facilities </t>
  </si>
  <si>
    <t xml:space="preserve">Minor spills
</t>
  </si>
  <si>
    <t xml:space="preserve">Site survey prior to commencing task 
 Dial before you dig permission  obtained prior to commencing work
 Service locator used and red lined on plan before excavation 
 Pre-planning undertaken 
Risk assessment conducted, and reviewed 
Spotter in place 
Positive communication 
</t>
  </si>
  <si>
    <t xml:space="preserve">Minor   Infrastructure damage 
</t>
  </si>
  <si>
    <t xml:space="preserve"> Risk assessment  not completed  prior to starting task 
Failure to  provide PPE to personnel 
Incorrect PPE
Failure to implement safe spine technique 
Poor planning 
Inadequate supervision 
</t>
  </si>
  <si>
    <t xml:space="preserve"> Risk assessment  to be completed  prior to starting task 
 Provide PPE to personnel 
Correct PPE
 Implementation of  safe spine technique Correct  planning 
Supervision to monitor personnel 
</t>
  </si>
  <si>
    <t xml:space="preserve">Minor lifting injury </t>
  </si>
  <si>
    <t xml:space="preserve"> Risk assessment  to be completed  prior to starting task 
 Provide PPE to personnel 
Correct PPE
 Implementation of  safe lifting technique sessions 
 Correct  planning prior task 
Supervision to monitor review Risk assessments 
</t>
  </si>
  <si>
    <t xml:space="preserve">PEAHR breaches 
Environmental breaches  of state law Acts &amp; regulations
Chemical spills effecting Marine environment    
Community impact 
Chemical injury  poisoning / burns Explosion </t>
  </si>
  <si>
    <t xml:space="preserve">Environmental damage / loss 
Fire &amp; explosion
Uncontrolled release of toxic substances
Pollution of the environment , land and marine   
Single fatality </t>
  </si>
  <si>
    <t xml:space="preserve">Single fatality 
Heat stroke 
Heat stress 
Dehydration 
Equipment damage </t>
  </si>
  <si>
    <t xml:space="preserve">Minor dehydration </t>
  </si>
  <si>
    <t xml:space="preserve">Tag &amp; testing not completed by competent persons 
Daily prestart checks not completed 
High risk work  conducted out of service equipment 
</t>
  </si>
  <si>
    <t xml:space="preserve">  Minor FAC </t>
  </si>
  <si>
    <t xml:space="preserve">Loss of employment and income 
Relationship breakdown 
FIFO worker 
Isolation 
Loss of family members and friends 
Aggressive personality 
Alcohol intolerance 
</t>
  </si>
  <si>
    <t xml:space="preserve">Loss of employment and income 
Relationship breakdown 
FIFO worker roster 
Isolation 
Aggressive personality 
Alcohol intolerance 
</t>
  </si>
  <si>
    <t xml:space="preserve">First aid training not available  
No Native wildlife awareness training 
New employee to area 
</t>
  </si>
  <si>
    <t xml:space="preserve">Live document;  hazards to be  indentified through review </t>
  </si>
  <si>
    <t xml:space="preserve">
Allergic reaction 
Coma / Shock 
</t>
  </si>
  <si>
    <t>Force majeure weather event 
Standards for buildings in cyclone zones not adhered to</t>
  </si>
  <si>
    <t xml:space="preserve"> Failure to  provide adequate training 
Incorrect PPE
 Poor planning 
Inadequate supervision 
</t>
  </si>
  <si>
    <t xml:space="preserve">Failure to correctly assess environmental conditions and adhere to procedure
 Failure to  provide adequate training 
Incorrect PPE
 Poor planning 
Inadequate supervision 
</t>
  </si>
  <si>
    <t>injury to workers
equipment damage</t>
  </si>
  <si>
    <t xml:space="preserve">environmental event
</t>
  </si>
  <si>
    <t xml:space="preserve">Pre start meetings to communicate pertinent information on predicted weather and durations
Personnel to relocate into safe areas 
Subscription to early warning network
 </t>
  </si>
  <si>
    <t xml:space="preserve">Single fatality 
  Infrastructure damage 
Breaches of state law traffic and Mines Act  legislation  </t>
  </si>
  <si>
    <t>Infrastructure damage</t>
  </si>
  <si>
    <t>Minor injury 
infrastructure damage</t>
  </si>
  <si>
    <t xml:space="preserve">Incompetent operator
Faulty equipment
No Exclusion Zones
No Spotter
</t>
  </si>
  <si>
    <t>Single Fatality
Injury
plant and equipment damage</t>
  </si>
  <si>
    <t xml:space="preserve">Over exertion 
Poor posture during lifting, handling
Muscle Fatigue
Isometric Muscle Movement
Prolonged static postures
Handling of sharp or awkward materials
</t>
  </si>
  <si>
    <t xml:space="preserve">
 Injury causing permanent damage
</t>
  </si>
  <si>
    <t>Failure to provide adequate training in correct manual handling techniques
Failure to provide alternative manual handling equipment or mechanical aids</t>
  </si>
  <si>
    <t xml:space="preserve">• Personal Injury - Inhalation, Ingestion;
• environmental event - contamination of area
</t>
  </si>
  <si>
    <t>Hot, dry conditions,
movement of ballast, tamping
plant movements
passing traffic, trains</t>
  </si>
  <si>
    <t>failure to follow stacking procedure
unloading. Loading of sleepers
Uneven Ground
Heavy Objects</t>
  </si>
  <si>
    <t>Personal injury
material damage</t>
  </si>
  <si>
    <t>Failure to follow procedure regarding VOC and ATO process
Failure to provide adequate supervision</t>
  </si>
  <si>
    <t>Failure to conduct pre start 
Scheduled maintenance not conducted</t>
  </si>
  <si>
    <t xml:space="preserve">Failure to correctly assess machine conditions and adhere to procedure
 Failure to  provide adequate training 
 Poor planning 
Inadequate supervision 
</t>
  </si>
  <si>
    <t>Failure to provide pre start information on interactions with other contractors
Failure to implement Track Access Procedures
Failure to follow TPO directions</t>
  </si>
  <si>
    <t>Equipment Damage
Personal Injury</t>
  </si>
  <si>
    <t>Infrastructure not built to specifications
Unable to utilise tracks
Rework to meet specifications
Infrastructure damage</t>
  </si>
  <si>
    <t xml:space="preserve">Infrastructure damage
Reputational loss
Commercial loss </t>
  </si>
  <si>
    <t>Failure to comply with procedure
Failure to conduct adequate VOC and ATO process
Failure to provide adequate supervision</t>
  </si>
  <si>
    <t>Incompetent welder
Inadequate Supervision
Lack of reporting failures
Excessive risk tolerance
poor environmental conditions
Faulty equipment</t>
  </si>
  <si>
    <t>Failure to comply with procedure
Failure to conduct pre starts and machine maintenance
Failure to provide adequate supervision</t>
  </si>
  <si>
    <t>No Exclusion Zones
Failure to follow Track Access Process
Failure to Follow TPO directions
Failure to follow supervisor instruction</t>
  </si>
  <si>
    <t>Fatality 
equipment damage
reputational loss</t>
  </si>
  <si>
    <t xml:space="preserve">Failure to correctly assess environmental conditions and adhere to procedure
Failure to understand and sign onto WP4 Form
Failure to  provide adequate training 
Incorrect PPE
 Poor planning 
Inadequate supervision 
</t>
  </si>
  <si>
    <t>Eye Injury
Hand Injury
Burns
Foreign body lodgement</t>
  </si>
  <si>
    <t xml:space="preserve">Personal injury 
</t>
  </si>
  <si>
    <t xml:space="preserve">Inadequate training  
failure to follow process
Incorrect PPE  
failure to implement exclusion zones                                     </t>
  </si>
  <si>
    <t>Inadequate training and VOC&lt; ATO process
Failure to follow procedure
Inadequate PPE 
inadequate supervision</t>
  </si>
  <si>
    <t xml:space="preserve">• Over-exertion (excessive manual lifting force);
• Poor posture during lifting/handling;
• Muscle fatigue;
• Repetitious movement;
• Prolonged static postures;
• Handling of sharp / hazardous loads;
</t>
  </si>
  <si>
    <t xml:space="preserve">• Personal Injury - Slip, Trip, Fall;
• Personal Injury - Musculoskeletal injury (Strain/disc injury);
• Personal Injury - Hand injury (Crush / Laceration).
</t>
  </si>
  <si>
    <t>Personal injury leading to permanent damage</t>
  </si>
  <si>
    <t xml:space="preserve"> No pre-start  checks completed    
Incorrect equipment
Untrained personnel
No risk assessment completed 
No audits / checks  undertaken 
No  loading / unloading procedures implemented 
  </t>
  </si>
  <si>
    <t>Mitchell</t>
  </si>
  <si>
    <t>Beirge</t>
  </si>
  <si>
    <t xml:space="preserve">Track Supervisor </t>
  </si>
  <si>
    <t>Track Worker</t>
  </si>
  <si>
    <t xml:space="preserve">Israel </t>
  </si>
  <si>
    <t xml:space="preserve"> Trained and competent personnel identified through recruitment process 
procedure for working on uneven surfaces implemented
job rotation implemented 
work redesign considered
buffer paths on formation identified with barricading
Correct planning and scheduling 
Contractors to be inducted to site 
Plant and equipment to comply with  BHP Environmental and  site compliance inspection </t>
  </si>
  <si>
    <t xml:space="preserve">Driver inductions implemented and adhered to
Trained and competent contractors  identified through tender  process 
Correct planning and scheduling 
Contractors to be inducted to site 
</t>
  </si>
  <si>
    <t xml:space="preserve">Injury
Minor Infrastructure damage </t>
  </si>
  <si>
    <t xml:space="preserve">personal injury
infrastructure damage   </t>
  </si>
  <si>
    <t xml:space="preserve">Personal Injury
Infrastructure damage   </t>
  </si>
  <si>
    <t>Employee / personnel are unfamiliar of working conditions and working remote areas</t>
  </si>
  <si>
    <t>• Personnel not inducted (Client, company or legislative inductions not provided);
• Inadequate supervision;
• Non-compliance with site safety procedures, including PPE;</t>
  </si>
  <si>
    <t>Inadequate training
Failure to follow procedures
Failure to follow BHP procedures</t>
  </si>
  <si>
    <t>minor delays to work commencement</t>
  </si>
  <si>
    <t xml:space="preserve">
Potential delay to start/ completion of works</t>
  </si>
  <si>
    <t>potential delay to start/completion of works</t>
  </si>
  <si>
    <t>Equipment compliance and mobilisation</t>
  </si>
  <si>
    <t xml:space="preserve"> No pre- mobilisation checks  prior to mobilisation
Client documentation not accessed by contractor 
No asset maintenance schedule in place
Procedures not followed
Road traffic hazards i.e. overhead services, route restrictions, other vehicles;
Load restraint
   </t>
  </si>
  <si>
    <t xml:space="preserve">Asset management plan implemented
Vehicle compliance process implemented and adhered to
All personnel involved in loading / unloading are wearing appropriate PPE
 Discuss unloading areas with site supervisor prior to arrival;
 Site specific hazards identified by personnel on site.
</t>
  </si>
  <si>
    <t>personal injury</t>
  </si>
  <si>
    <t xml:space="preserve">New employee passport program completed for all new employees, including inductions and safety training programs, competency and authorisations
Downer, project and client inductions;
Review and sign off of associated Safe Work Method Statements (SWMS)
 Suitable training for personnel engaged on site.
</t>
  </si>
  <si>
    <t>Personal injury
Potential delay to start / completion of works.</t>
  </si>
  <si>
    <t xml:space="preserve">Mobilisation  to site </t>
  </si>
  <si>
    <t>property damage</t>
  </si>
  <si>
    <t xml:space="preserve">property damage
loss of reputation
</t>
  </si>
  <si>
    <t>delays in commencement of planned works 
Personal injury
Equipment damage</t>
  </si>
  <si>
    <r>
      <t xml:space="preserve">Activity/Task 
</t>
    </r>
    <r>
      <rPr>
        <sz val="11"/>
        <rFont val="Century Gothic"/>
        <family val="2"/>
      </rPr>
      <t>(Description)</t>
    </r>
  </si>
  <si>
    <r>
      <t>Unplanned/unwanted Event</t>
    </r>
    <r>
      <rPr>
        <sz val="11"/>
        <rFont val="Century Gothic"/>
        <family val="2"/>
      </rPr>
      <t xml:space="preserve">
(Issue)</t>
    </r>
  </si>
  <si>
    <r>
      <t xml:space="preserve">Contributing Factors/Causes
</t>
    </r>
    <r>
      <rPr>
        <sz val="11"/>
        <color indexed="9"/>
        <rFont val="Century Gothic"/>
        <family val="2"/>
      </rPr>
      <t xml:space="preserve"> Root Causes
- Latent Causes
- Direct Causes</t>
    </r>
  </si>
  <si>
    <r>
      <t xml:space="preserve">Maximum Foreseeable Loss  
</t>
    </r>
    <r>
      <rPr>
        <sz val="9"/>
        <color indexed="9"/>
        <rFont val="Century Gothic"/>
        <family val="2"/>
      </rPr>
      <t>(Most plausible worst case scenario - controls not in place)</t>
    </r>
  </si>
  <si>
    <r>
      <t xml:space="preserve">Severity Level
 </t>
    </r>
    <r>
      <rPr>
        <sz val="9"/>
        <color indexed="9"/>
        <rFont val="Century Gothic"/>
        <family val="2"/>
      </rPr>
      <t>(Based on MFL)</t>
    </r>
  </si>
  <si>
    <r>
      <t xml:space="preserve">Impact
</t>
    </r>
    <r>
      <rPr>
        <sz val="9"/>
        <color indexed="9"/>
        <rFont val="Century Gothic"/>
        <family val="2"/>
      </rPr>
      <t xml:space="preserve">(Most plausible worst case scenario - with controls in place) </t>
    </r>
  </si>
  <si>
    <t xml:space="preserve"> No pre-start  checks completed    
Untrained personnel
No risk assessment completed 
No audits / checks  undertaken 
No pre-planning conducted 
  </t>
  </si>
  <si>
    <t xml:space="preserve"> Infrastructure damage 
Breaches of state law traffic and Mines Act  legislation  
financial penalties 
Pollution of the environment , land and marine   </t>
  </si>
  <si>
    <t xml:space="preserve"> Correct equipment  / guards 
Trained personnel
 Risk assessment completed 
Audits / checks  undertaken 
 Loading / unloading procedures implemented 
  </t>
  </si>
  <si>
    <t xml:space="preserve"> Incorrect equipment
Untrained personnel
No risk assessment completed 
No audits / checks  undertaken 
No  loading / unloading procedures implemented 
  </t>
  </si>
  <si>
    <t xml:space="preserve">Personal injury
Property damage / Loss  
Environmental damage / loss 
Financial loss 
Project delay </t>
  </si>
  <si>
    <t xml:space="preserve">Breaches of state law traffic and Mines Act  legislation
Project delays 
Financial loss   </t>
  </si>
  <si>
    <t xml:space="preserve">Single   fatalities and major Infrastructure damage 
Breaches of state law traffic and Mines Act  legislation  
financial penalties 
Pollution of the environment , land and marine   </t>
  </si>
  <si>
    <t xml:space="preserve"> Infrastructure damage 
Breaches of state law traffic and Mines Act  legislation  
Financial penalties 
Pollution of the environment , land and marine   
Breaches of BHP site requirements </t>
  </si>
  <si>
    <t xml:space="preserve">Infrastructure damage 
Breaches of state law traffic and Mines Act  legislation  
financial penalties 
</t>
  </si>
  <si>
    <t xml:space="preserve"> No pre-start  checks completed    
Incorrect equipment
Untrained personnel
No risk assessment completed 
No audits / checks  undertaken 
No  loading / unloading  operating procedures implemented 
Poor training and  VOC process in place 
  </t>
  </si>
  <si>
    <t xml:space="preserve"> No pre-start  checks completed    
Incorrect equipment used
Untrained personnel
No risk assessment completed 
No audits / checks  undertaken 
No  rigging  or operating procedures implemented 
No  training and  VOC process in place 
  </t>
  </si>
  <si>
    <t xml:space="preserve"> No pre-start  checks completed    
Untrained personnel
No risk assessment completed 
No audits / checks  undertaken 
No  rigging  or operating procedures implemented 
No  training and  VOC process in place 
  </t>
  </si>
  <si>
    <t xml:space="preserve"> No pre-start  checks completed    
Incorrect equipment
Untrained personnel
No risk assessment completed 
No audits / checks  undertaken 
No lifting  procedures implemented poor planning 
  </t>
  </si>
  <si>
    <t xml:space="preserve"> Pre-start  checks completed    
Correct equipment 
Trained VOC'd  personnel
High risk licenced operator 
Risk assessment completed 
 Audits / checks  undertaken 
  Loading / unloading procedures implemented 
  </t>
  </si>
  <si>
    <t xml:space="preserve"> Pre-start  checks completed    
Correct equipment 
Trained VOC'd  personnel
Risk assessment completed 
 Audits / checks  undertaken 
  Loading / unloading procedures implemented 
  </t>
  </si>
  <si>
    <t xml:space="preserve">Exclusion zones implemented
 Lifting and rigging register developed  compliant to site requirements 
Daily  gear check  undertaken 
 Training and  VOC process developed, implemented and   communicated  to all personnel 
High risk activities controlled through audit and checklist system
</t>
  </si>
  <si>
    <t xml:space="preserve">Fatality
Native fauna and cattle loss infrastructure damage  
</t>
  </si>
  <si>
    <t xml:space="preserve">Property damage 
Assault  on  other camp residents </t>
  </si>
  <si>
    <t xml:space="preserve">FAC injury 
</t>
  </si>
  <si>
    <t xml:space="preserve">Injury / Illness
Permanent hearing disability / loss 
</t>
  </si>
  <si>
    <t xml:space="preserve">Loss of human life 
permanent disability 
Breach of BHP policies and procedures 
</t>
  </si>
  <si>
    <t xml:space="preserve">Loss of human life 
permanent disability 
Breach of BHP policies and procedures 
Equipment failure 
Dropped objects 
</t>
  </si>
  <si>
    <t xml:space="preserve">Loss of human life 
permanent disability 
Breach of BHP policies and procedures 
 Financial loss 
 Company's loss of reputation and future contracts 
</t>
  </si>
  <si>
    <t xml:space="preserve">Loss of human life 
permanent disability 
Equipment failure 
Crane collapse 
Truck damage 
</t>
  </si>
  <si>
    <t xml:space="preserve">Loss of human life 
permanent disability 
Equipment failure 
Crane collapse 
Crane  damage 
</t>
  </si>
  <si>
    <t xml:space="preserve">MTI 
permanent disability 
</t>
  </si>
  <si>
    <t xml:space="preserve">permanent disability 
Breach of BHP policies and procedures 
 Financial loss 
</t>
  </si>
  <si>
    <t>Permanent disability
Injury
plant and equipment damage</t>
  </si>
  <si>
    <t>minor damage</t>
  </si>
  <si>
    <t>FAC injury</t>
  </si>
  <si>
    <t xml:space="preserve"> Trained and competent personnel identified through recruitment and VOC  process 
Scheduled audits and inspections of safety management system and procedures 
 </t>
  </si>
  <si>
    <t xml:space="preserve"> Exclusion zones implemented
General Alert information provided at pre start communications
Correct equipment  / guards 
Trained personnel
Positive communications, and allocated radio channels used 
 Risk assessment completed 
Audits / checks  undertaken 
Implement and communicate  TMP and scope  to all contractors through EPCM alert system, as required 
 </t>
  </si>
  <si>
    <t>financial loss</t>
  </si>
  <si>
    <t>personal injury
equipment damage</t>
  </si>
  <si>
    <t>Exclusion zone implemented around work area.
Screens/Barriers erected
Tested and tagged equipment,
Welding screens utilised where possible;
 Provision of emergency equipment, including fire extinguishers and first aid kits;
 Restraint devices for cords/leads;
Gas bottles restrained in an upright position by chains;
Gas bottles transported in an upright position by suitable trolleys or other mechanical aids;
 Provision of appropriate storage facilities for gasses (e.g. segregation from non-compatible substances);</t>
  </si>
  <si>
    <t>personal injury
financial loss</t>
  </si>
  <si>
    <t xml:space="preserve">Single Fatality 
Project delay
Infrastructure damage 
Legislative Reportable incident 
Financial loss 
Plant / truck  rollover 
Load failure / dropped objects 
</t>
  </si>
  <si>
    <t>property damage
personal injury</t>
  </si>
  <si>
    <t>Plant and property damage
personal injury</t>
  </si>
  <si>
    <t xml:space="preserve">Personal Injury - Inhalation, Ingestion, Skin Contact;
environmental event - contamination of area
</t>
  </si>
  <si>
    <t xml:space="preserve">Contact with hazardous substances.
Lack of / Out of Date MSDS's
 Inadequate Labelling of Substance containers
 Poor Decanting practices
Uncontrolled Ignition sources
 Storage of incompatible substances
Lack of Risk Assessment for Hazardous Substances;
Spillage / Leakage of substances.
Poor Decanting practices;
Poor disposal of substances;
Fail to identify less hazardous / alternative substances.
</t>
  </si>
  <si>
    <t>minor disturbance to ballast</t>
  </si>
  <si>
    <t>personal injury
property damage</t>
  </si>
  <si>
    <t xml:space="preserve">Exclusion zones implemented
TMP  communicated, implemented and  constantly reviewed
Contractor meeting schedule developed and implemented 
Positive communications procedure developed and training conducted 
Pre- planning prior to commencing contract 
</t>
  </si>
  <si>
    <t xml:space="preserve">Job rotation system to be implemented
Risk assessment  to be completed  prior to starting task 
Provide PPE to personnel 
Correct PPE
 Implementation of  safe lifting technique sessions 
 Correct  planning prior task 
Supervision to monitor review Risk assessments 
</t>
  </si>
  <si>
    <t xml:space="preserve">Pre start to communicate General alerts, contractor movements
Correct equipment  / guards 
Trained personnel
Positive communications, and allocated radio channels used 
 Risk assessment completed 
Audits / checks  undertaken 
Implement and communicate  TMP and scope  to all contractors through EPCM alert system, as required 
 </t>
  </si>
  <si>
    <t xml:space="preserve"> No pre-start  checks completed    
Incorrect equipment
Untrained personnel
No risk assessment completed 
No audits / checks  undertaken 
No VOC process developed 
HR Recruitment process inadequate 
  insufficient risk assessment </t>
  </si>
  <si>
    <t xml:space="preserve">Job rotation to be in place
 Risk assessment  to be completed  prior to starting task 
 Provide PPE to personnel 
Correct PPE
 Implementation of  safe lifting technique sessions 
 Correct  planning prior task 
Supervision to monitor review Risk assessments 
</t>
  </si>
  <si>
    <t xml:space="preserve">Chest infection /Lost time Injury  
Workers Compensation claim
 </t>
  </si>
  <si>
    <t>Personnel not inducted (Client, company or legislative inductions not provided);
Inadequate supervision;
Non-compliance with site safety procedures, including PPE;</t>
  </si>
  <si>
    <t xml:space="preserve">Project inductions Downer / General Construction induction);  
Induction process to include visual verification of driver's license, 
Construction Induction and other relevant qualifications; 
PPE issued to all personnel as required.  Minimum site requirements include:
  - Safety footwear;
  - Safety glasses;
  - Hi-Visibility vest/shirt;
  - Long sleeved shirt;
  - Long pants;
  - Hard hat;
  - Gloves 
</t>
  </si>
  <si>
    <t>Potential delay to start / completion of works.</t>
  </si>
  <si>
    <t>Infrastructure damage
personal injury</t>
  </si>
  <si>
    <t xml:space="preserve">Violence 
Property damage 
</t>
  </si>
  <si>
    <t xml:space="preserve"> Employee Assistance Program (EAP) to be implemented and  communicated to all employees at site induction and periodic toolbox meetings
</t>
  </si>
  <si>
    <t xml:space="preserve">property damage   </t>
  </si>
  <si>
    <t xml:space="preserve">Insufficient   fluids intake 
Working in extreme climatic  conditions
Extended hours of work 
Sudden change of environment 
Peer pressure 
Failure to acclimatise to conditions 
No training / information given 
</t>
  </si>
  <si>
    <t xml:space="preserve">Tag &amp; testing  and inspections not completed by competent persons 
Lifting certifications not submitted 
State law Statutory check not undertaken 
</t>
  </si>
  <si>
    <t xml:space="preserve">Unfamiliar travel routes for personnel entering site;
Travel to remote locations - reduced services, communications, emergency response. </t>
  </si>
  <si>
    <t>Personnel not arriving to site when required / expected;</t>
  </si>
  <si>
    <t xml:space="preserve">Contractors not receiving induction 
Drivers not holding a current applicable
Valid drivers licence 
</t>
  </si>
  <si>
    <t xml:space="preserve">Personal injury
Property damage / Loss  
Environmental damage / loss 
Breaches of state laws, acts and Regulations </t>
  </si>
  <si>
    <t xml:space="preserve">Failure to follow Track Access Authority requirements
Incompetent operator
Faulty equipment
No Exclusion Zones
No Spotter
</t>
  </si>
  <si>
    <t xml:space="preserve">Failure to follow TPO Direction
Incompetent operator
Faulty equipment
No Exclusion Zones
Incorrect body posture 
prolonged static postures
</t>
  </si>
  <si>
    <t xml:space="preserve">Follow TPO Direction and process
 Trained and competent personnel identified through recruitment process 
procedure for working on uneven surfaces implemented
job rotation implemented 
work redesign considered
buffer paths on formation identified with barricading
Correct planning and scheduling 
Contractors to be inducted to site 
Plant and equipment to comply with  BHP Environmental and  site compliance inspection </t>
  </si>
  <si>
    <t xml:space="preserve">Failure to follow Track Access Requirements
Incompetent operator
Faulty equipment
No Exclusion Zones
No Spotter
</t>
  </si>
  <si>
    <t xml:space="preserve"> TPO direction and process
Exclusion zones implemented
Pre-start  checks completed    
Correct equipment 
Trained VOC'd  personnel
High risk licenced operator 
Risk assessment completed 
Audits / checks  undertaken 
Loading / unloading procedures implemented 
  </t>
  </si>
  <si>
    <t xml:space="preserve"> Risk assessment  to be completed  prior to starting task 
 Provide PPE to personnel 
Correct PPE
job rotation process 
 Implementation of  safe lifting technique sessions 
 Correct  planning prior task 
Supervision to monitor review Risk assessments 
</t>
  </si>
  <si>
    <t xml:space="preserve">Contact with hazardous substances.
Lack of / Out of Date MSDS's
Inadequate Labelling of Substance containers
 Poor Decanting practices
 Uncontrolled Ignition sources
 Storage of incompatible substances
Lack of Risk Assessment for Hazardous Substances;
 Spillage / Leakage of substances.
 Poor Decanting practices;
 Poor disposal of substances;
 Fail to identify less hazardous / alternative substances.
</t>
  </si>
  <si>
    <t xml:space="preserve">Personal Injury - Inhalation, Ingestion, Skin Contact;
 environmental event - contamination of area
</t>
  </si>
  <si>
    <t xml:space="preserve">Over-exertion (excessive manual lifting force);
Poor posture during lifting/handling;
Muscle fatigue;
Repetitious movement;
Prolonged static postures;
 Handling of sharp / hazardous loads;
</t>
  </si>
  <si>
    <t xml:space="preserve">Personal Injury - Slip, Trip, Fall;
Personal Injury - Musculoskeletal injury (Strain/disc injury);
Personal Injury - Hand injury (Crush / Laceration).
</t>
  </si>
  <si>
    <t xml:space="preserve">Contact with hazardous substances.
Lack of / Out of Date MSDS's
Inadequate Labelling of Substance containers
Poor Decanting practices
Uncontrolled Ignition sources
Storage of incompatible substances
Lack of Risk Assessment for Hazardous Substances;
Spillage / Leakage of substances.
 Poor Decanting practices;
 Poor disposal of substances;
Fail to identify less hazardous / alternative substances.
</t>
  </si>
  <si>
    <t xml:space="preserve"> Personal Injury - Inhalation, Ingestion, Skin Contact;
environmental event - contamination of area
</t>
  </si>
  <si>
    <t xml:space="preserve">Over-exertion (excessive manual lifting force);
Poor posture during lifting/handling;
Muscle fatigue;
 Repetitious movement;
Prolonged static postures;
Handling of sharp / hazardous loads;
</t>
  </si>
  <si>
    <t xml:space="preserve">Use of mechanical aids where possible this may include:
  - Cranes;
  - Trolleys;
  - Hoists.
Optimal storage/transport of equipment and materials
Correct Manual Handling Techniques
Job rotation
</t>
  </si>
  <si>
    <t xml:space="preserve"> Contact with hazardous substances.
Lack of / Out of Date MSDS's
Inadequate Labelling of Substance containers
Poor Decanting practices
Uncontrolled Ignition sources
 Storage of incompatible substances
Lack of Risk Assessment for Hazardous Substances;
Spillage / Leakage of substances.
 Poor Decanting practices;
 Poor disposal of substances;
Fail to identify less hazardous / alternative substances.
</t>
  </si>
  <si>
    <t xml:space="preserve"> Personal Injury - Inhalation, Ingestion, Skin Contact;
 environmental event - contamination of area
</t>
  </si>
  <si>
    <t>Potential delay to start / completion of works;</t>
  </si>
  <si>
    <t>Potential delay to start / completion of works;
Damaged reputation</t>
  </si>
  <si>
    <t>potential delay to start/ completion of works 
Damaged reputation</t>
  </si>
  <si>
    <t>personal injury
damaged reputation</t>
  </si>
  <si>
    <t xml:space="preserve">Personal injury
Financial loss 
permanent disability 
</t>
  </si>
  <si>
    <t xml:space="preserve">
Minor  Infrastructure damage 
Project delays 
Financial loss   </t>
  </si>
  <si>
    <t>Heat stroke</t>
  </si>
  <si>
    <t xml:space="preserve"> Trained and competent personnel identified through recruitment and VOC  process 
Scheduled audits and inspections of safety management system 
 </t>
  </si>
  <si>
    <t xml:space="preserve">Multiple  fatalities 
Infrastructure damage
Breaches of state law regulations and BHP site requirements   
Native fauna and cattle loss  
</t>
  </si>
  <si>
    <t xml:space="preserve">Incorrect equipment and permits  not in place 
Untrained and not  VOC'd  personnel
No risk assessment completed 
No audits / checks  undertaken 
Prior  planning not  undertaken 
No risk assessment undertaken 
Poor  or no supervision 
  </t>
  </si>
  <si>
    <t xml:space="preserve">Exclusion Zones implemented
TMP  communicated, implemented and  constantly reviewed
Contractor meeting schedule developed and implemented 
Positive communications procedure developed and training conducted 
Pre- planning prior to commencing contract 
</t>
  </si>
  <si>
    <t xml:space="preserve">First aid courses not available 
No Native wildlife awareness training 
New employee to area 
</t>
  </si>
  <si>
    <t xml:space="preserve"> Native fauna training to all personnel 
 Nationally accredited Senior first aid training for  personnel 
Emergency response plan implemented, tested and reviewed periodically 
First aid kits in all offices, plant , and LV's
Administration information on notice boards  </t>
  </si>
  <si>
    <t xml:space="preserve">Single Fatality 
Project delay
Infrastructure damage 
Legislative Reportable incident 
Financial loss 
Plant / truck  rollover 
</t>
  </si>
  <si>
    <t xml:space="preserve"> No pre-start  checks completed    
Incorrect equipment
Untrained personnel
No risk assessment completed 
No audits / checks  undertaken 
No VOC process developed 
HR Recruitment process inadequate 
  Insufficient risk assessment </t>
  </si>
  <si>
    <t xml:space="preserve">Single Fatality 
Project delay
Infrastructure damage 
Legislative Reportable incident 
Financial loss 
Plant / truck  rollover collision  
Insufficient risk assessment 
</t>
  </si>
  <si>
    <t xml:space="preserve">Infrastructure property, plant  and equipment damage                         Loss of life, human / fauna     
Breaching  WA Traffic road rules BHP site requirements  and legislation 
</t>
  </si>
  <si>
    <t xml:space="preserve">More than one person travelling in one vehicle 
Plant / vehicles and equipment not  suitable for long distance travel
 Driver complacency 
</t>
  </si>
  <si>
    <t xml:space="preserve">Not driving to road conditions,
 Not complying to state law  road rule , BHP TCP' TMP.
Driver affected by drugs &amp; alcohol and fatigue </t>
  </si>
  <si>
    <t xml:space="preserve">fatality 
Infrastructure damage
Breaches of state law regulations and BHP site requirements   
Native fauna and cattle loss  
</t>
  </si>
  <si>
    <t xml:space="preserve">Infrastructure property, plant  and equipment damage                         Loss of life, human / fauna     
</t>
  </si>
  <si>
    <t xml:space="preserve">Multiple  fatalities 
Infrastructure damage 
Native fauna and cattle loss  
</t>
  </si>
  <si>
    <t xml:space="preserve">Infrastructure property, plant  and equipment damage
injury 
Loss of life
</t>
  </si>
  <si>
    <t xml:space="preserve">Exclusion Zones
TPO Directions implemented
TMP  communicated, implemented and  constantly reviewed
Contractor meeting schedule developed and implemented 
Positive communications procedure developed and training conducted 
Pre- planning prior to commencing contract 
</t>
  </si>
  <si>
    <t xml:space="preserve">Infrastructure property, plant  and equipment damage
injury, loss of life 
</t>
  </si>
  <si>
    <t>Faulty Mobile Plant/Vehicles</t>
  </si>
  <si>
    <t xml:space="preserve">TPO Direction and process
Usage of correct parts and equipment 
 maintenance schedule adhered to
 Training or VOC process in place 
Asset maintenance schedule developed 
Only qualified / trained personnel to be operate / Mainian plant &amp; equipment  
</t>
  </si>
  <si>
    <t xml:space="preserve">Infrastructure property, plant  and equipment damage
injury 
</t>
  </si>
  <si>
    <t xml:space="preserve"> Registered and licenced  contractor to be utilised 
Trained personnel of handling of hazardous substances 
Fatigue management procedure implemented and constantly  monitored 
Emergency response and chemical spill training 
 Approved  Hazardous Storage facilities and transport vehicles 
</t>
  </si>
  <si>
    <t xml:space="preserve">Exclusion Zones
TPO Directions implemented
TMP  communicated, implemented and  constantly reviewed
WP4 form Implemented
Contractor meeting schedule developed and implemented 
Positive communications procedure developed and training conducted 
Pre- planning prior to commencing contract 
</t>
  </si>
  <si>
    <t>Faulty Rail Mounted Mobile Plant &amp; Mobile Plant</t>
  </si>
  <si>
    <t xml:space="preserve">Usage of correct parts and equipment 
 maintenance schedule adhered to
 Training or VOC process in place 
Asset maintenance schedule developed 
Only qualified / trained personnel to be operate / Mainian plant &amp; equipment  
</t>
  </si>
  <si>
    <t xml:space="preserve">Infrastructure property, plant  and equipment damage
Fatality 
</t>
  </si>
  <si>
    <t xml:space="preserve"> Trained and competent personnel identified through recruitment and VOC  process 
Scheduled audits and inspections of safety management system and procedures
 </t>
  </si>
  <si>
    <t xml:space="preserve">Faulty equipment
Excessive risk tolerance
poor environmental conditions
inadequate Supervision
</t>
  </si>
  <si>
    <t>Incorrect body posture
Isometric muscle movement 
Inadequate training in manual handling, correct body posture techniques</t>
  </si>
  <si>
    <t xml:space="preserve"> Failure to follow Track Access Requirements No pre-start  checks completed    
Incorrect equipment
Untrained personnel
No risk assessment completed 
No audits / checks  undertaken 
No VOC process developed 
HR Recruitment process inadequate 
  Insufficient risk assessment </t>
  </si>
  <si>
    <t xml:space="preserve">Single Fatality 
Project delay
Infrastructure damage 
Legislative Reportable incident 
Financial loss 
Crane collapse 
Insufficient risk assessment 
</t>
  </si>
  <si>
    <t xml:space="preserve">Follow TPO directions and process
Trained and competent personnel identified through recruitment and VOC  process 
Scheduled audits and inspections of safety management system 
 </t>
  </si>
  <si>
    <t xml:space="preserve">TPO direction followed
Track Access procedure in place
WP4 Form implemented and adhered to
TMP  communicated, implemented and  constantly reviewed
Contractor meeting schedule developed and implemented 
Positive communications procedure developed and training conducted 
Pre- planning prior to commencing contract 
</t>
  </si>
  <si>
    <t xml:space="preserve">Personal injury
Project delay
Infrastructure damage 
Legislative Reportable incident 
Financial loss 
Plant / truck  rollover 
Load failure / dropped objects 
</t>
  </si>
  <si>
    <t xml:space="preserve">Exclusion zones implemented
TPO direction adhered to
Trained and competent personnel identified through recruitment and VOC  process 
Scheduled audits and inspections of safety management system 
 </t>
  </si>
  <si>
    <t>Dust suppression controls in place
Dust masks where required
exclusion zones in place</t>
  </si>
  <si>
    <t xml:space="preserve">No due diligence process undertaken regarding the hierarchy of controls of the hazards in the project  environment </t>
  </si>
  <si>
    <t xml:space="preserve">Training matrix
 Induction process to include experienced  personnel to conduct  company  training  for SWMS, JHA and Take 5 for all personnel involved in the project                                                           Company training matrix implemented </t>
  </si>
  <si>
    <t>No due diligence process undertaken regarding equipment mobilisation and project requirements</t>
  </si>
  <si>
    <t xml:space="preserve"> Registered Training Organisation (RTO)  and experienced  personnel to conduct  company  training  for  all personnel involved in the project                                                           Company training matrix implemented and maintained </t>
  </si>
  <si>
    <t xml:space="preserve">Infrastructure property, plant  and equipment damage                         
Not complying with WA Traffic road rules, BHP site requirements  and legislation 
</t>
  </si>
  <si>
    <t xml:space="preserve">Plant / vehicles and equipment not  suitable for task 
Company's assets not maintained 
</t>
  </si>
  <si>
    <t xml:space="preserve">Company to ensure mobilisation plan is in place and complied with prior to commencement of works
Recruitment and planning  personnel trained and competent 
Document control process  in place and maintained   
</t>
  </si>
  <si>
    <t xml:space="preserve"> TMP  not communicated  to new personnel or not TMP in place 
Personnel not familiar with remote area  environment and  conditions 
</t>
  </si>
  <si>
    <t xml:space="preserve">More than one person travelling in one vehicle 
Plant / vehicles and equipment not  suitable for task 
Personnel unaware of PEAHR and remote travel requirements </t>
  </si>
  <si>
    <t xml:space="preserve">Downer Bus to be utilised for all personnel unfamiliar with site or travel routes
Journey management protocols for vehicle journeys (journey controller appointed and checks made to verify safe arrival to project)
 Travel instruction/directions provided to personnel prior to departure (including provision of maps as required);
 Inspection and maintenance of company light vehicles (minimum weekly inspection for light vehicles)Vehicle and Trailer Weekly Inspection;
Alternative driver system to be implemented
 Downer bus to deliver personnel to site from camp and airport.
</t>
  </si>
  <si>
    <t xml:space="preserve">Infrastructure property, plant  and equipment damage
 Loss of life, human / fauna     
Breaching  WA Traffic road rules BHP site requirements  and legislation 
</t>
  </si>
  <si>
    <t>Not diving to road conditions,
 Not complying to state law  road rule , BHP TCP' TMP.
Driver affected by drugs &amp; alcohol and fatigue</t>
  </si>
  <si>
    <t xml:space="preserve">Multiple  fatalities 
Infrastructure damage
Breaches of state law regulations and BHP site requirements   
Native fauna and cattle loss  
</t>
  </si>
  <si>
    <t xml:space="preserve">Vehicles transported in where possible
alternative driver program implemented
Bus transportation utilised for workers not familiar with site
Travel packages provided
speed monitoring conducted through journey management
DETEC training 
Current Australian  drivers licence applicable to vehicle being driven 
 BHP requirements dictates all  personnel under 21 years of age not to drive light vehicles and trucks 
</t>
  </si>
  <si>
    <t xml:space="preserve">Loss of native fauna
Loss of human life 
Vehicle and infrastructure damage 
falling asleep whilst in control </t>
  </si>
  <si>
    <t xml:space="preserve"> Fatigue management process not implemented or  adhered to
 </t>
  </si>
  <si>
    <t xml:space="preserve">Cyclone &amp; inclement weather preparedness process not implemented 
 Not ceasing  works during inclement weather 
Emergency management process not in place </t>
  </si>
  <si>
    <t xml:space="preserve">Loss of human life 
Environmental loss, damage  and breach 
Infrastructure  damage
Community impact 
Breach of  the department of transport  act &amp; legislation 
Financial penalties
Project delays 
</t>
  </si>
  <si>
    <t xml:space="preserve">Loss of human life 
Environmental loss, damage  and breach 
Infrastructure  damage
Community impact 
Breaches of  the department of transport  act &amp; legislation 
Financial penalties
Project delays 
</t>
  </si>
  <si>
    <t xml:space="preserve">Not containing  chemical spills in to natural course waterways 
Not following environmental procedure
Personnel unaware of PEAHR requirements 
Personnel not trained  spill response 
Contractor not approved or licenced  to transport to carry hazardous materials 
</t>
  </si>
  <si>
    <t xml:space="preserve">PEAHR breaches 
Environmental breaches  of state law Acts &amp; regulations
Breaches of transport state law regulations 
Project delay  and financial penalties  
Chemical spills effecting land /Marine environment    
Community impact
Explosion and uncontrolled release of toxic substances  </t>
  </si>
  <si>
    <t xml:space="preserve">Chemical management procedure not implemented 
Inadequate  training for personnel
Not using a registered contractor 
Hazardous materials being transported without appropriate licences and approvals  
 </t>
  </si>
  <si>
    <t xml:space="preserve">
Trained personnel of handling of hazardous substances 
Fatigue management procedure implemented and constantly  monitored 
Emergency response and chemical spill training 
  Client approved  Hazardous Storage facilities and transport vehicles 
</t>
  </si>
  <si>
    <t xml:space="preserve">Area not secured and managed
insufficient contractor  screening at contracts stage 
Failure to complete contractor induction 
</t>
  </si>
  <si>
    <t xml:space="preserve">Infrastructure damage 
Breaches of state law traffic and Mines Act  legislation
Project delays 
Financial loss   </t>
  </si>
  <si>
    <t xml:space="preserve">Personal injury
Environmental loss, damage  and breach 
Infrastructure  damage
Community impact 
Breach of  the department of transport  act &amp; legislation 
Financial penalties
Project delays 
</t>
  </si>
  <si>
    <t xml:space="preserve"> Infrastructure damage 
Breaches of state law traffic and Mines Act  legislation
Project delays 
Financial loss   </t>
  </si>
  <si>
    <t xml:space="preserve">Project delay
Infrastructure damage 
Legislative Reportable incident 
Financial loss 
Plant / truck  rollover 
Insufficient risk assessment 
</t>
  </si>
  <si>
    <t xml:space="preserve">
Incorrect equipment
Untrained and not  VOC'd  personnel
No risk assessment completed 
No audits / checks  undertaken 
No  loading / unloading procedures implemented 
No civil works to stabilise ground 
  </t>
  </si>
  <si>
    <t xml:space="preserve"> Correct surveying of area 
Ground compaction test completed and signed off 
Correct planning 
Risk assessments completed 
Trained and VOC competent personnel 
Civil works completed to required standard  
</t>
  </si>
  <si>
    <t xml:space="preserve">Infrastructure damage 
Project delays 
Financial loss   </t>
  </si>
  <si>
    <t xml:space="preserve">Prior planning and risk assessments completed
Correct storage practices implemented and maintained 
TMP and signage 
approved  hazard chemical  storage containers 
Spill response equipment in place and maintained
Personnel trained in spill response and chemical handling  
</t>
  </si>
  <si>
    <t xml:space="preserve">Working without correct permits 
Inadequate TMP 
Poor communications
No Training or VOC process in place
Poor or no  planning undertaken 
Unsure of work scope and limitations of  boundaries  
</t>
  </si>
  <si>
    <t xml:space="preserve">Pedestrians hit by plant &amp; equipment   
Loss of human life 
Project delays
Compensation claim 
Legislative enquiry  </t>
  </si>
  <si>
    <t xml:space="preserve"> Lifting and rigging register developed  compliant to site requirements 
Daily  gear check  undertaken 
 Training and  VOC process developed, implemented and   communicated  to all personnel 
HR recruitment process developed &amp; reviewed periodically
Lessons learnt process  developed,  implemented and  timely actioned  
Health &amp; safety management system to be reviewed periodically 
</t>
  </si>
  <si>
    <t xml:space="preserve">MTI 
Minor Infrastructure damage 
Minimum financial loss 
</t>
  </si>
  <si>
    <t xml:space="preserve">Single Fatality 
Project delay
Infrastructure damage 
Legislative Reportable incident 
Financial loss 
Crane collapse 
insufficient risk assessment 
</t>
  </si>
  <si>
    <t xml:space="preserve">Loss of human life 
permanent disability 
Breach of BHP policies and procedures 
Equipment failure 
Dropped objects 
Crane collapse 
Legislative Reportable incident 
</t>
  </si>
  <si>
    <t xml:space="preserve">Poor planning 
Sufficient survey report on ground conditions 
Inclement weather 
Compaction of ground   not completed 
Scope of works not adhered to 
Poor supervision
Inadequate risk assessment  
</t>
  </si>
  <si>
    <t xml:space="preserve">Incorrect equipment 
No risk assessment completed 
No audits / checks  undertaken 
No  loading / unloading procedures implemented 
No civil works to stabilise level  ground 
  </t>
  </si>
  <si>
    <t xml:space="preserve">
Major  Infrastructure damage 
Project delays 
Financial loss   </t>
  </si>
  <si>
    <t xml:space="preserve">Poor planning 
Poor supervision
Inadequate risk assessment
Breach of BHP and   state law requirements 
</t>
  </si>
  <si>
    <t xml:space="preserve">Multiple fatality 
Property damage / Loss  
Environmental damage / loss 
Financial loss 
Project delay 
Financial penalties
Project delays 
</t>
  </si>
  <si>
    <t xml:space="preserve">Exclusion Zones
TMP  communicated, implemented and  constantly reviewed
Contractor meeting schedule developed and implemented 
Positive communications procedure developed and training conducted 
Pre- planning prior to commencing contract 
</t>
  </si>
  <si>
    <t xml:space="preserve">Loss of human life 
permanent disability 
Equipment failure 
Crane collapse 
Crane  damage 
Property damage 
Connecting with power line
Electric shock 
Reportable incident 
</t>
  </si>
  <si>
    <t xml:space="preserve">Loss of human life 
permanent disability 
Equipment failure 
Crane collapse 
Crane  damage 
Property damage 
Connecting with power line
Electrocution   
</t>
  </si>
  <si>
    <t xml:space="preserve">No due diligence process undertaken regarding  the Hierarchy of controls of the hazards in the project  environment </t>
  </si>
  <si>
    <t xml:space="preserve">Emergency management process implemented 
Infrastructure, building audits and Q&amp; A process system in place
 Reliable weather forecasting information source i.e. BOM etc 
Early warning detection systems implemented through warning network
</t>
  </si>
  <si>
    <t xml:space="preserve">Not containing  chemical spills in to natural course waterways 
Not following environmental procedure
Personnel unaware of PEAHR requirements 
Personnel not trained  spill response 
Contractor not approved or licenced  to transport to carry hazardous materials 
No spill kits in place 
Chemical storage container not adequately bunded 
</t>
  </si>
  <si>
    <t xml:space="preserve">Chemical management procedure not implemented 
Inadequate  training for personnel
Not using a registered contractor 
Hazardous materials being transported without appropriate licences and approvals  
 Inadequate chemical storage facilities </t>
  </si>
  <si>
    <t xml:space="preserve">
Trained personnel of handling of hazardous substances 
Fatigue management procedure implemented and constantly  monitored 
Emergency response and chemical spill training 
 Client approved  Hazardous Storage facilities and transport vehicles 
Chemical separation procedure compliance 
Chemical handling tool box training 
MSDS register, reviewed periodically 
Competent licenced waste contractors to be utilised 
</t>
  </si>
  <si>
    <t xml:space="preserve">Single Fatality 
Project delay
Infrastructure damage 
Legislative Reportable incident 
Financial loss 
Community  services disruption </t>
  </si>
  <si>
    <t xml:space="preserve">Poor planning 
Sufficient survey report 
Scope of works not adhered to 
Poor supervision 
Dial before you dig not conducted 
No spotter in place 
</t>
  </si>
  <si>
    <t xml:space="preserve">Falling asleep whilst in control  
 Being under the influence of drugs and alcohol
No fatigue management, Journey plan in place 
</t>
  </si>
  <si>
    <t xml:space="preserve">Fatigue management process implemented 
Fatigue assessment process implemented
D and A testing implemented
All personnel to be trained in fatigue identification  </t>
  </si>
  <si>
    <t xml:space="preserve">Personal injury
Environmental loss Infrastructure damage   </t>
  </si>
  <si>
    <t xml:space="preserve">Loss of life
Addiction
Relationship breakdown 
Depression 
Violence 
Property damage 
Imprisonment 
Loss of livelihood 
</t>
  </si>
  <si>
    <t xml:space="preserve">Loss of employment and income 
Relationship breakdown 
FIFO worker  away from home 
Isolation 
Loss of family members and friends 
Peer pressure 
 Wet mess failure to identify harmful  limit of alcohol to personnel  
Peer pressure 
No BAC testing </t>
  </si>
  <si>
    <t xml:space="preserve"> Employee Assistance Program (EAP) to be implemented and  communicated to all employees at site induction and periodic toolbox meetings
Counselled by Company , help sessions 
Zero tolerance policy 
</t>
  </si>
  <si>
    <t xml:space="preserve">No environmental risk assessment completed 
No personal risk assessment completed 
Failure to provide PPE to personnel 
Incorrect PPE
Failure to implement dust monitoring / or schedule 
Open cab to Equipment 
</t>
  </si>
  <si>
    <t xml:space="preserve">  No Environmental risk assessment completed  prior to starting task 
 Failure to  provide PPE to personnel 
Incorrect PPE
Failure to implement dust monitoring / or schedule 
Open cab to Plant 
Poor planning 
Inadequate supervision 
</t>
  </si>
  <si>
    <t xml:space="preserve"> Environmental risk assessment to be completed  prior to starting task 
Provide  correct PPE to personnel 
 Implementation of  dust monitoring  and schedule 
Closed cab   to be sourced and mobilised to site to replace  
Correct  time allocated to planning , prior to commencing job 
</t>
  </si>
  <si>
    <t xml:space="preserve">No environmental risk assessment completed 
No personal risk assessment completed 
Failure to provide PPE to personnel 
Incorrect PPE
Failure to implement noise  monitoring / or schedule 
</t>
  </si>
  <si>
    <t xml:space="preserve">  No Environmental risk assessment completed  prior to starting task 
 Failure to  provide PPE to personnel 
Incorrect PPE
Failure to implement dust monitoring / or schedule 
Poor planning 
Inadequate supervision 
</t>
  </si>
  <si>
    <t xml:space="preserve"> Environmental risk assessment to be completed  prior to starting task 
Provide  correct PPE to personnel 
 Implementation of  noise  monitoring  and schedule 
Closed cab  to be sourced and mobilised to site to replace open cabs  
Correct  time allocated to planning , prior to commencing job 
</t>
  </si>
  <si>
    <t xml:space="preserve">Minor hearing loss 
Community disturbance 
</t>
  </si>
  <si>
    <t xml:space="preserve">No  risk assessment completed 
No personal risk assessment completed 
Failure to provide Lifting aid 
Failure to implement safety spine training 
</t>
  </si>
  <si>
    <t xml:space="preserve"> Lifting  Injury  
Workers Compensation claim
 </t>
  </si>
  <si>
    <t xml:space="preserve">Not containing  chemical spills in to natural course waterways 
Not following environmental procedure
Personnel unaware of PEAHR requirements 
Personnel not trained  spill response 
Contractor not approved or licenced  to transport to use  hazardous materials 
Not complying with MSDS 
</t>
  </si>
  <si>
    <t xml:space="preserve">Chemical management procedure not implemented 
Inadequate  training for personnel
Not using a registered contractor 
Hazardous materials being transported without appropriate licences 
Not complying with MSDS 
 </t>
  </si>
  <si>
    <t xml:space="preserve">
Trained personnel of handling of hazardous substances 
Fatigue management procedure implemented and constantly  monitored 
Emergency response and chemical spill training 
 Approved  Hazardous Storage facilities and transport vehicles 
MSDS register to be implemented and reviewed periodically 
</t>
  </si>
  <si>
    <t xml:space="preserve">Insufficient  fluids intake 
Working in extreme climatic  conditions
Extended hours of work 
 Sudden change of environment 
Peer pressure 
Failure to acclimatise to conditions 
No training / information given 
 </t>
  </si>
  <si>
    <t xml:space="preserve">Increase    fluids intake 
Working in extreme climatic  conditions
Reduce working  hours of work 12-10 
Use buddy system for new starters  
 Acclimatise to conditions slowly  
 Training / information i.e. tool boxes 
</t>
  </si>
  <si>
    <t>PP-09-010</t>
  </si>
  <si>
    <t>Hazardous Materials Management</t>
  </si>
  <si>
    <t>PP-09-012</t>
  </si>
  <si>
    <t>Traffic Management</t>
  </si>
  <si>
    <t>PP-09-014</t>
  </si>
  <si>
    <t>Loading and Unloading</t>
  </si>
  <si>
    <t>PP-09-017</t>
  </si>
  <si>
    <t>Power and Hand Tools</t>
  </si>
  <si>
    <t xml:space="preserve">PP-09-018 </t>
  </si>
  <si>
    <t>Electrical Safety</t>
  </si>
  <si>
    <t xml:space="preserve">PP-09-027 </t>
  </si>
  <si>
    <t xml:space="preserve">Working in Hot and Cold  </t>
  </si>
  <si>
    <t>PP-09-028</t>
  </si>
  <si>
    <t>PP-09-036</t>
  </si>
  <si>
    <t>Rail Safety</t>
  </si>
  <si>
    <t>PP-09-039</t>
  </si>
  <si>
    <t>Bulk Earthworks and Civil Works</t>
  </si>
  <si>
    <t>PP-09-040</t>
  </si>
  <si>
    <t>Dust and Fibrous Materials</t>
  </si>
  <si>
    <t>PP-09-048</t>
  </si>
  <si>
    <t>Communication and Consultation</t>
  </si>
  <si>
    <t>PP-09-049</t>
  </si>
  <si>
    <t>Guarding, Barricading, Signaage and Housekeeping</t>
  </si>
  <si>
    <t xml:space="preserve">PP-13-030 </t>
  </si>
  <si>
    <t>Fauna Management</t>
  </si>
  <si>
    <t xml:space="preserve">PP-13-100 </t>
  </si>
  <si>
    <t>Environmental Management Plan</t>
  </si>
  <si>
    <t xml:space="preserve">SPR-HR-GEN-005 </t>
  </si>
  <si>
    <t>BHPBIO Approved Training Providers</t>
  </si>
  <si>
    <t>SPR-IEN-HC-001</t>
  </si>
  <si>
    <t>WAIO Hydrocarbon and Hazardous Chemicals Management</t>
  </si>
  <si>
    <t>SPR-IHS-000-001</t>
  </si>
  <si>
    <t>Light and Road Going Vehicle Use</t>
  </si>
  <si>
    <t xml:space="preserve">SPR-IHS-SAF-006 </t>
  </si>
  <si>
    <t>Personal Protective Equipment</t>
  </si>
  <si>
    <t xml:space="preserve">SPR-IHS-SAF-018 </t>
  </si>
  <si>
    <t xml:space="preserve">Working at Heights-Fall Injury Prevention Systems </t>
  </si>
  <si>
    <t>SPR-IHS-SAF-024</t>
  </si>
  <si>
    <t xml:space="preserve">Isolation and Permit to Work- Isolation, Lockout and Tagging </t>
  </si>
  <si>
    <t xml:space="preserve">SPR-IHS-SAF-027 </t>
  </si>
  <si>
    <t>WAIO Requirments for Portable/Mobile Lighting Plants, Electrical Generators, Welding Machines, Electrical Distribution Boards, Compressors, Water Pumps and Fuel Trailers</t>
  </si>
  <si>
    <t xml:space="preserve">SPR-IHS-SAF-029 </t>
  </si>
  <si>
    <t xml:space="preserve">Cranage, Lifting &amp; Slinging </t>
  </si>
  <si>
    <t>SPR-IHS-SAF-073</t>
  </si>
  <si>
    <t>WAIO Drug and Alcohol Managgement</t>
  </si>
  <si>
    <t xml:space="preserve">SPR-IHS-SAF-082 </t>
  </si>
  <si>
    <t>SPR-IHS-SAF-098</t>
  </si>
  <si>
    <t>WAIO Requirements for Light Vehicles and Surface Mobile Equipment</t>
  </si>
  <si>
    <t>SPR-IHS-SAFHY-009</t>
  </si>
  <si>
    <t>Occupational Hygiene Exposure Assessment and Control</t>
  </si>
  <si>
    <t>SPR-OHN-SAFES-001</t>
  </si>
  <si>
    <t>Vehicle Escort - On and Off Site</t>
  </si>
  <si>
    <t xml:space="preserve">SPR-IHS-SAFOH-004 </t>
  </si>
  <si>
    <t>Irone Ore Fatigue Management Plan</t>
  </si>
  <si>
    <t>SPR-OHN-SAF-026</t>
  </si>
  <si>
    <t>Tropical Cyclone Preparedness and Response</t>
  </si>
  <si>
    <t xml:space="preserve">SPR-PHS-SAFES-001 </t>
  </si>
  <si>
    <t>Port &amp; Rail Cyclone Procedure</t>
  </si>
  <si>
    <t>WIN-IEN-HC-001</t>
  </si>
  <si>
    <t>Major/Minor Spill Response</t>
  </si>
  <si>
    <t xml:space="preserve">Welding of Rail </t>
  </si>
  <si>
    <t>Welding of Rail</t>
  </si>
  <si>
    <t>Grinding of Rail</t>
  </si>
  <si>
    <t>Clipping Up of Rail</t>
  </si>
  <si>
    <t xml:space="preserve">Infrastructure property, plant  and equipment damage                         
Loss of life, human / fauna     
Breaching  WA Traffic road rules BHP site requirements  and legislation 
</t>
  </si>
  <si>
    <t xml:space="preserve">Journey ManagementPlan not completed
Not diving to road conditions,
Not complying to state law  road rule , BHP TCP' TMP.
Driver affected by drugs &amp; alcohol and fatigue </t>
  </si>
  <si>
    <t xml:space="preserve">Journey Management Plan (inc Night Driving Risk Assessment)
Fatigue assessments
Alcohol and drug testing
DETEC training 
Current Australian  drivers licence applicable to vehicle being driven 
 BHP requirements dictates all  personnel under 21 years of age not to drive light vehicles and trucks 
</t>
  </si>
  <si>
    <t xml:space="preserve">Untrained personnel
No risk assessment completed 
Poor training and  VOC process in place
Poor planning 
Inadequate supervision 
  </t>
  </si>
  <si>
    <t>Weeli Wolli Creek Newman Mainline 291km Bridge - 10 km South of Yandi Junction</t>
  </si>
  <si>
    <t>North East side of existing NML 291km Bridge</t>
  </si>
  <si>
    <t>Weeli Wolli Creek Newman Mainline 291km Bridge - Earthworks, Siteworks</t>
  </si>
  <si>
    <t>Project Startup - Weeli Wolli Creek Newman Mainline 291km Bridge - SOW-G074-C-12017/B</t>
  </si>
  <si>
    <t>Workplace and Construction Risk Assessment</t>
  </si>
  <si>
    <t>Senior Zero Harm Advisor</t>
  </si>
  <si>
    <t xml:space="preserve">people </t>
  </si>
  <si>
    <t>systems</t>
  </si>
  <si>
    <t>equipment</t>
  </si>
  <si>
    <t>competence</t>
  </si>
  <si>
    <t>Speeding
other vehicles on the road</t>
  </si>
  <si>
    <t>• Personnel not inducted (Client, company or legislative inductions not provided);
• Inadequate supervision;
• Non-compliance with site safety procedures, including PPE;
Fatigue</t>
  </si>
  <si>
    <t>environment</t>
  </si>
  <si>
    <t>working at Heights</t>
  </si>
  <si>
    <t>unstable ground</t>
  </si>
  <si>
    <t>• Untrained personnel for task
• Inexperienced personnel for task
•  Injury to personnel</t>
  </si>
  <si>
    <t>• Operator not licensed
• No Verification of Competency completed
• Poor task planning
•  Competent operators not available</t>
  </si>
  <si>
    <t xml:space="preserve">
Multiple Fatalities
Breach of Regulations
Infrastructure Damage
</t>
  </si>
  <si>
    <t>Untrained/inexperienced personnel can put not only themselves in an unsafe position but also any other personnel working in vicinity of them.</t>
  </si>
  <si>
    <t>• Site Project Induction detailing VOC process in place and resources available to communicate to all project personnel
•  Training Needs Analysis in place and resources available to comply with
•  Project Schedule in place and resources to complete available</t>
  </si>
  <si>
    <t xml:space="preserve">
Breach of Regulations
Infrastructure Damage
</t>
  </si>
  <si>
    <t>• Non compliant earth works mobile equipment
• Unroad worthy/operatable  earth works mobile equipment
• Wrong piece of equipment for task</t>
  </si>
  <si>
    <t>Multiple Fatalities
Breach of Regulations
Infrastructure Damage</t>
  </si>
  <si>
    <t>Operators can put not only themselves in an unsafe position but also any other personnel working in the immediate area</t>
  </si>
  <si>
    <t>•  Project Schedule in place and resources to complete available
•  Mobile Plant Compliance checklists and resources available to complete checklists</t>
  </si>
  <si>
    <t>• Truck/Mobile Plant roll over
• Property damage</t>
  </si>
  <si>
    <t>•  No risk assessment completed on ground conditions prior to loading/unloading
•  Insufficient surveying of area
• Inclement weather
• Poor planning</t>
  </si>
  <si>
    <t>Single Fatalities
Infrastructure Damage
Project Delay 
Reputation Damage</t>
  </si>
  <si>
    <t>Single fatality /permanent body impairment to operator of truck/mobile plant</t>
  </si>
  <si>
    <t>• Designated Loading and loading area to be established and resources available to establish
• Compaction testing to be completed during establishing of designated loading/unloading area</t>
  </si>
  <si>
    <t>Infrastructure Damage</t>
  </si>
  <si>
    <t>• Dropped load
• Earthworks Mobile Plant over
• Personnel injury
• Damage to infrastructure</t>
  </si>
  <si>
    <t xml:space="preserve">• Untrained personnel for task
• Inexperienced personnel for task
• Poor task planning
• SWL not identifiable on plant
• Plant manual not available </t>
  </si>
  <si>
    <t>Multiple Fatalities
Infrastructure Damage
Project Delay 
Reputation Damage</t>
  </si>
  <si>
    <t>Operators can put not only themselves in an unsafe position when lifting but also any other personnel working with crane operator</t>
  </si>
  <si>
    <t>•  Pre-lifting complete checklists available and resources available to complete
•  Training Needs Analysis in place and resources available to comply with</t>
  </si>
  <si>
    <t>Infrastructure/Property Damage
Project Delay 
Reputation Damage</t>
  </si>
  <si>
    <t>• Unauthorised access to work area
• Motor Vehicle/Mobile Plant/Pedestrian related injury
• Untrained operators
• Uncontrolled Mobile Plant/Vehicle/Pedestrian interface - No separation</t>
  </si>
  <si>
    <t>• Drivers/Operators/Pedestrians not complying with Company Traffic Management and Site Traffic Control Plans
• Insufficient/no road signage
• Call up signage when entering restricted areas not adhered to</t>
  </si>
  <si>
    <t>Drivers/Operators can put not only themselves in an unsafe position but also any other personnel working in the immediate vicinity</t>
  </si>
  <si>
    <t>• Project Site Induction in place and resources available to communicate
• Site Traffic Management Plan  and Traffic Control Plan in place and resources available to communicate to all personnel</t>
  </si>
  <si>
    <t>• Dropped object
• Injury to personnel
•  Uncontrolled movement of load
•  Damage to other Vehicle Mobile Plant &amp; Infrastructure</t>
  </si>
  <si>
    <t>• Operator/Dogman/Rigger not experienced
•  Operator/Dogman/Rigger not aware of lifting procedures
• Lifting procedures not made available to Operator/Dogman/Rigger
• Load not controlled using tag lines
• Competent operators not available
• Poor task planning</t>
  </si>
  <si>
    <t>Operators/Dogman/Riggers can put not only themselves in an unsafe position but also any other personnel working in the immediate vicinity</t>
  </si>
  <si>
    <t>• Project Site Induction detailing lifting operation process in place and resources available to communicate
•  Pre-lifting complete checklists available and resources available to complete
• Lifting training package in place and resource available to implement</t>
  </si>
  <si>
    <t>Infrastructure Damage
Project Delay 
Reputation Damage</t>
  </si>
  <si>
    <t>• Water damage to critical infrastructure limiting production and access/egress to site
• Site closure from cyclone</t>
  </si>
  <si>
    <t>• Weather conditions - Cyclones/Hail/Rain
• Poor work area set up - drainage
• Crib huts not cyclone rated</t>
  </si>
  <si>
    <t>Multiple Fatalities
Infrastructure Damage
Environment Damage</t>
  </si>
  <si>
    <t>Sever Cyclonic conditions have the potential to cause mass infrastructure damage and multiple fatalities</t>
  </si>
  <si>
    <t>• Cyclone Procedure in place and resources to communicate and implement available
• Emergency Preparedness Plan in place and resources to communicate and implement available</t>
  </si>
  <si>
    <t>Infrastructure Damage
Environment Damage</t>
  </si>
  <si>
    <t>• Personnel injury - First Aid Case, Medical Treated Injury
•  Personnel Injury - Lost Time Injury if no first aid/medical treatment</t>
  </si>
  <si>
    <t>Personnel Injury
Project Delay</t>
  </si>
  <si>
    <t xml:space="preserve">Contact with hazardous substances
Storage of hazardous substances </t>
  </si>
  <si>
    <t xml:space="preserve">Pre start meetings to communicate pertinent information on predicted weather and durations
Personnel to relocate into safe areas 
Subscription to early warning network
Speed monitoring and random testing, 
Starting times to be assessed to miss identified issue times, e.g. dawn and dusk. 
Speed limits to enable adequate braking distance
 </t>
  </si>
  <si>
    <t>Fauna
Weather</t>
  </si>
  <si>
    <t>Night Driving
Speeding
Fatigue
Other drivers</t>
  </si>
  <si>
    <t>equiipment</t>
  </si>
  <si>
    <t>Uneven Ground</t>
  </si>
  <si>
    <t>Earthworks/ Mobile Equipment/excavations</t>
  </si>
  <si>
    <t xml:space="preserve">untrained/Inexperienced Personnel
incorrect Equipment </t>
  </si>
  <si>
    <t>single fatality
Project Delay</t>
  </si>
  <si>
    <t xml:space="preserve"> No pre-start  checks completed    
Incorrect equipment
Untrained personnel
No risk assessment completed 
No audits / checks  undertaken 
  </t>
  </si>
  <si>
    <t>Single fatality</t>
  </si>
  <si>
    <t xml:space="preserve"> Pre-start  checks completed    
Correct equipment 
Fall prevention devices in place
Fall arrest devices checked and tagged
Trained VOC'd  personnel
High risk licenced operator 
Risk assessment completed 
 Audits / checks  undertaken 
  </t>
  </si>
  <si>
    <t>Formwork installation</t>
  </si>
  <si>
    <t>concrete delivery</t>
  </si>
  <si>
    <t>concrete placement</t>
  </si>
  <si>
    <t>agitator spills on completion</t>
  </si>
  <si>
    <t>curing</t>
  </si>
  <si>
    <t>formwork removal</t>
  </si>
  <si>
    <t>• awkward body position
•extensive manual handling
• PPE not available/appropriate for task
• Personnel not trained in PPE correct use</t>
  </si>
  <si>
    <t>PPE - Hexarmour gloves
job rotation 
manual handing training
safe spine program
correct tool for job</t>
  </si>
  <si>
    <t>hand tools
work design
awkward body position to complete work</t>
  </si>
  <si>
    <t>Reversing vehicles
Spills
equipment blockages
stored energy</t>
  </si>
  <si>
    <t xml:space="preserve">personal injury
equipment damage
</t>
  </si>
  <si>
    <t xml:space="preserve">• no spotter for reversing agitator - blind spots
incorrect handling of shute
untrained operators
incorrect equipment usage
</t>
  </si>
  <si>
    <t>Personnel Injury
Equipment damage
Project Delay</t>
  </si>
  <si>
    <t>Delivery driver to operate machine - no unauthorised access to equipment</t>
  </si>
  <si>
    <t>Personal Injury
Project Delay</t>
  </si>
  <si>
    <t>personal Injury
Project Delay
environmental event</t>
  </si>
  <si>
    <t xml:space="preserve">hazardous material
shute malfunction
incompetent operator
formwork malfunction
suspended loads
</t>
  </si>
  <si>
    <t xml:space="preserve">concrete spills/ splashes 
formwork does not hold material
Burns from incorrect handling
</t>
  </si>
  <si>
    <t xml:space="preserve">incompetent operator
Faulty equipment
No Exclusion Zones
No Spotter
</t>
  </si>
  <si>
    <t>Personnel Injury
Equipment damage
Environmental event
Project Delay</t>
  </si>
  <si>
    <t>delivery driver to operate machine - no unauthorised access to equipment
Formwork certified by supervisor
shute operated by competent operator
exclusion zone from suspended load</t>
  </si>
  <si>
    <t xml:space="preserve">hazardous material
shute malfunction
incompetent operator
suspended loads
</t>
  </si>
  <si>
    <t xml:space="preserve">concrete spills/ splashes 
Burns from incorrect handling
</t>
  </si>
  <si>
    <t>delivery driver to operate machine - no unauthorised access to equipment
Bunded area for cleaning shute - heavy duty plastic barrier
shute operated by competent operator
exclusion zone from bund
spoil removed by mechanical means</t>
  </si>
  <si>
    <t xml:space="preserve">personal injury </t>
  </si>
  <si>
    <t>Chemical drums located on stable ground
refilling to be completed over a bunded area - HD plastic in place
Eye wash station in close proximity</t>
  </si>
  <si>
    <t xml:space="preserve">chemical spills
</t>
  </si>
  <si>
    <t>personal injury 
environmental event</t>
  </si>
  <si>
    <t>personal injury
environmental event</t>
  </si>
  <si>
    <t>removal of formwork construction by hand
manual handling 
work design</t>
  </si>
  <si>
    <t>incorrect manual handling techniques
line of fire 
work design</t>
  </si>
  <si>
    <t xml:space="preserve">correct ppe - hexarmour gloves
work redesign
mechanical aids  transport to close proximity 
manual handling techniques
two man lift where required 
</t>
  </si>
  <si>
    <t xml:space="preserve">Mitigating controls </t>
  </si>
  <si>
    <t xml:space="preserve">personal Injury
Project Delay
</t>
  </si>
  <si>
    <t>Activity/Task 
(Description)</t>
  </si>
  <si>
    <t xml:space="preserve">Utilisation of Plant, SME and Equipment </t>
  </si>
  <si>
    <t>Preparation of and working in field conditions</t>
  </si>
  <si>
    <t xml:space="preserve">Poor planning 
insufficient survey report on ground conditions 
Inclement weather 
Compaction of ground   not completed 
Scope of works not adhered to 
Poor supervision
Inadequate risk assessment  
</t>
  </si>
  <si>
    <t xml:space="preserve">Poor planning 
insufficient geotech &amp; survey report 
Inclement weather 
Not preparing ground to comply with load and geotech requirements  
Scope of works not adhered to 
Poor supervision 
</t>
  </si>
  <si>
    <t xml:space="preserve">Environmental breaches  of state law Acts &amp; regulations
Breaches of transport state law regulations 
Project delay  and financial penalties  
Chemical spills effecting land /Marine environment    
Community impact
Explosion and uncontrolled release of toxic substances  </t>
  </si>
  <si>
    <t>Rail Stored Energy</t>
  </si>
  <si>
    <t>Manual/Mechanical Handling</t>
  </si>
  <si>
    <t xml:space="preserve">• In adequate education and awareness of rail/steel movement in changing temperature conditions when rail is unrestrained(clipper up) ;
• In correct handing conditions with machinery;
• incorrect unclipping/clipping up procedure
</t>
  </si>
  <si>
    <t xml:space="preserve">
Personal Injury - leg/torso injury (Crush / Laceration).
</t>
  </si>
  <si>
    <t xml:space="preserve">Experienced, trained and competent personnel identified through recruitment process 
procedure for clipping unclipping, cutting rail 
work redesign considered
control of worksite to be maintained 
Correct planning and communication of plan to all work groups 
Correct Plant and equipment to carry out rail threading and movement  </t>
  </si>
  <si>
    <t>KPI</t>
  </si>
  <si>
    <t>Moving Culverts with Forklift</t>
  </si>
  <si>
    <t>Placing culverts</t>
  </si>
  <si>
    <t>damage to material</t>
  </si>
  <si>
    <t>incorrect placement
material damage</t>
  </si>
  <si>
    <t>minimal damage</t>
  </si>
  <si>
    <t>uneven placement</t>
  </si>
  <si>
    <t xml:space="preserve">untrained personnel
incorrect survey mark out
material caught on bottom of culvert legs </t>
  </si>
  <si>
    <t xml:space="preserve">Check survey mark out
spotter and guide to be in alignment where placement should occur
clean legs with broom, keeping hands clear of the line of fire. 
</t>
  </si>
  <si>
    <t>track construction</t>
  </si>
  <si>
    <t xml:space="preserve">Turnout Building  </t>
  </si>
  <si>
    <t xml:space="preserve"> Tight access areas  Uneven ground Plant V plant   V Rollingstock </t>
  </si>
  <si>
    <t xml:space="preserve">infrastructure  property plant and equipment damage   loss of life,  LTI </t>
  </si>
  <si>
    <t xml:space="preserve"> Failure to follow  TPO Direction  incompetent operator Faulty equipment no exclusion zones incorrect lifting   </t>
  </si>
  <si>
    <t xml:space="preserve">  Death  or permanent disability  Infrastructure  damage plant &amp; equipment damage </t>
  </si>
  <si>
    <t xml:space="preserve">Failure to follow procedure
Failure to implement exclusion zones </t>
  </si>
  <si>
    <t>hard barricading</t>
  </si>
  <si>
    <t xml:space="preserve">TPO  in place &amp; Direction  WP4 form   Vortex Fencing  ( hard barricade  ) </t>
  </si>
  <si>
    <t>personal injury
equipment damange</t>
  </si>
  <si>
    <t xml:space="preserve"> Ballast removal</t>
  </si>
  <si>
    <t xml:space="preserve">infrastructure  property plant and equipment damage   ,  LTI </t>
  </si>
  <si>
    <t xml:space="preserve">personal injury  infrastructure  damage plant &amp; equipment damage </t>
  </si>
  <si>
    <t xml:space="preserve">Failure to follow exclusion zones 
Hard barricading not in place </t>
  </si>
  <si>
    <t>Vortex fencing between live rail and construction track</t>
  </si>
  <si>
    <t xml:space="preserve">TPO  in place &amp; Direction  WP4 form   Vortex Fencing  ( hard barricade  )  if going going  below sub ballast capping dig permit require  </t>
  </si>
  <si>
    <t xml:space="preserve">Laying bearers  of steel work </t>
  </si>
  <si>
    <t xml:space="preserve">  Death  or permanent disability  Infracsture  damage plant &amp; equipment damage </t>
  </si>
  <si>
    <t>exclusion zones</t>
  </si>
  <si>
    <t xml:space="preserve">  Pretsart checks  completed   TPO  in place &amp; Direction    Exclusion zones  implemented  correct equipemnt  risk assessments completed  Aduits / check undertaken </t>
  </si>
  <si>
    <t xml:space="preserve"> clipping up </t>
  </si>
  <si>
    <t xml:space="preserve"> Personal injury leading to permanent damage </t>
  </si>
  <si>
    <t xml:space="preserve">over -exertion ( excessive manual lifting force ) poor posture  during lifting &amp; handling  Musluce Fatigue  Repetitious movement prolonged static postures handling of sharp /hazardous loads   </t>
  </si>
  <si>
    <t xml:space="preserve">Personal injury  - slip trip fall  Personal injury  Musculoskeletal injury strain/disc injury hand injury crush /laceration </t>
  </si>
  <si>
    <t>failure to follow correct lifting techniques</t>
  </si>
  <si>
    <t>mechanical aids</t>
  </si>
  <si>
    <t xml:space="preserve">  Sparks  &amp; Fires </t>
  </si>
  <si>
    <t>guards and barriers</t>
  </si>
  <si>
    <t xml:space="preserve"> Experienced Trained &amp; competent  personnel  identify  through recruitment process Hots works &amp; Fire Fighter trained </t>
  </si>
  <si>
    <t>moving rail</t>
  </si>
  <si>
    <t xml:space="preserve">  Stored energy </t>
  </si>
  <si>
    <t>mechanical aids where possible</t>
  </si>
  <si>
    <t xml:space="preserve"> Experienced Trained &amp; competent  personnel
  identify  through recruitment process  procedure for clipping unclipping rail  
cutting rail
 work  redesign considered   
supervision of work site to be maintained
correct plant &amp; equipment  to carry out  steel work place ment 
  prior planning &amp; communication  of plan to all work groups  </t>
  </si>
  <si>
    <t xml:space="preserve">Dissmantling Turnouts and  Railway track  removal </t>
  </si>
  <si>
    <t xml:space="preserve">Infrastructure  property plant and equipment damage   loss of life,  LTI   Wildlife  beening injured or dead </t>
  </si>
  <si>
    <t xml:space="preserve">  Death  or permanent disability
  infrastructure  damage 
plant &amp; equipment damage </t>
  </si>
  <si>
    <t xml:space="preserve"> Hot works , TPO in place  risk easements done   before task are start    ID possible  wildlife in area or under  tracks  </t>
  </si>
  <si>
    <t>construction</t>
  </si>
  <si>
    <t>BHP References
 09-003 Induction and Orientation 
 09-004 Training and Competency 
 09-008 Site Access &amp; Security
 09-013 Mobilisation
 09-030 Fitness for Work
SPR-HR-GEN-005 BHP Approved Training Providers
Downer References
DA-HR-PR001 Recruitment and Induction
DA-ZH-PR003 Training and Competency Management
Downer Health and Safety Management Plan</t>
  </si>
  <si>
    <t>BHP References
 09-004 Training and Competency 
 09-011 Light Vehicles, Buses &amp; Mobile Plant
 09-012 Traffic Management
Downer References
DA-ZH-PR003 Training and Competency Management
Downer Traffic Management Plan</t>
  </si>
  <si>
    <t>BHP References
 09-004 Training and Competency 
 09-011 Light Vehicles, Buses &amp; Mobile Plant
 09-012 Traffic Management
 09-049 Guarding, Barricading, Signage and Housekeeping
Downer References
DA-ZH-PR003 Training and Competency Management
Downer Traffic Management Plan</t>
  </si>
  <si>
    <t>BHP References
 09-003 Induction and Orientation
 09-004 Training &amp; Competency
 09-011 Light Vehicles, Buses &amp; Mobile Plant
Downer References
DA-ZH-PR003 Training and Competency Management 
DA-HR-PR001 Recruitment and Induction 
 DA-ZH-ST057 Vehicles and Mobile Plant</t>
  </si>
  <si>
    <t>BHP References
 09-005 Hazard and Risk Management
 09-014 Loading &amp; Unloading
SPR-IHS-SAF-006 Personal Protective Equipment
Downer References 
DA-ZH-PR003 Training and Competency Management 
DA-ZH-PR028 Zero Harm Risk Management
DA-ZH-PR052 Personal Protective Equipment</t>
  </si>
  <si>
    <t>BHP References
 09-004 Training and Competency
 09-005 Hazard and Risk Management
SPR-IHS-SAF-029 Cranage, Lifting &amp; Slinging
Downer References 
DA-ZH-PR003 Training and Competency Management
DA-ZH-PR028 Zero Harm Risk Management
DEDI-ZH-047-CG Cranes and Lifting Equipment</t>
  </si>
  <si>
    <t>BHP References
S 09-005 Hazard and Risk Management
SPR-IHS-SAF-029 Cranage, Lifting &amp; Slinging 
PR-OHN-SAF-026 Tropical Cyclone Preparedness and Response
SPR-PHS-SAFES-001 Port &amp; Rail Cyclone Procedure
 09-027 Working in Hot and Cold  
Downer References
DA-ZH-PR028 Zero Harm Risk Management
DEDI-ZH-047-CG Cranes and Lifting Equipment
DA-ZH-PR093 Working in Extremes of Temperature
Downer Cyclone Procedure</t>
  </si>
  <si>
    <t>BHP References
 09-005 Hazard and Risk Management
SPR-IEN-HC-001 WAIO Hydrocarbon and Hazardous Chemicals Management
WIN-IEN-HC-001 Major/Minor Spill Response
 13-100 Environmental Management Plan
Downer References
DA-ZH-PR024 Hazardous Chemicals and Dangerous Goods
DA-ZH-PR028 Zero Harm Risk Management
Downer Environmental Management Plan</t>
  </si>
  <si>
    <t>BHP References
 09-005 Hazard and Risk Management
 09-040 Dust and Fibrous Materials
 13-100 Environmental Management Plan
SPR-IHS-SAF-006 Personal Protective Equipment
Downer References
DA-ZH-PR028 Zero Harm Risk Management
DA-ZH-ST052 Personal Protective Equipment
DA-ZH-ST070 Air Quality Management
Downer Environmental Management Plan</t>
  </si>
  <si>
    <t>BHP References
 09-005 Hazard and Risk Management
 09-040 Dust and Fibrous Materials
SPR-IHS-SAF-006 Personal Protective Equipment
SPR-IHS-SAFHY-009 Occupational Hygiene Exposure Assessment and Control
Downer References
DA-ZH-PR028 Zero Harm Risk Management
DA-ZH-ST052 Personal Protective Equipment</t>
  </si>
  <si>
    <t>BHP References
 09-010 - Hazardous Materials Management 
SPR-IEN-HC-001 WAIO Hydrocarbon and Hazardous Chemicals Management
WIN-IEN-HC-001 Major/Minor Spill Response
 13-100 Environmental Management Plan
Downer References
DA-ZH-PR024 Hazardous Chemicals and Dangerous Goods
DA-ZH-PR054 Hazardous Chemicals and Dangerous Goods Storage Principles and Transportation
DA-ZH-PR028 Zero Harm Risk Management
Downer Environmental Management Plan</t>
  </si>
  <si>
    <t>BHP References
 09-003 Induction and Orientation
 09-004 Training &amp; Competency
 09-027 Working in Hot and Cold  
 09-030 Fitness for Work
Downer References
DA-HR-PR001 Recruitment and Induction
DA-ZH-PR003 Training and Competency Management
DA-HR-PR001 Recruitment and Induction
DA-ZH-PR093 Working in Extremes of Temperature</t>
  </si>
  <si>
    <t>BHP References
 13-100 Environmental Management Plan
Downer References
DA-ZH-ST071 Flora and Fauna Management
Downer Environmental Management Plan</t>
  </si>
  <si>
    <t>BHP References
SPR-OHN-SAF-026 Tropical Cyclone Preparedness and Response
SPR-PHS-SAFES-001 Port &amp; Rail Cyclone Procedure
 09-027 Working in Hot and Cold  
Downer References
DA-ZH-PR093 Working in Extremes of Temperature
Downer Cyclone Procedure</t>
  </si>
  <si>
    <t>Equipment and buildings not secured correctly to BHP standards</t>
  </si>
  <si>
    <t>BHP References
SPR-OHN-SAF-026 Tropical Cyclone Preparedness and Response
SPR-PHS-SAFES-001 Port &amp; Rail Cyclone Procedure
Downer References
DA-ZH-PR093 Working in Extremes of Temperature
Downer Cyclone Procedure</t>
  </si>
  <si>
    <t>BHP References
 09-004 Training and Competency 
 09-005 Hazard and Risk Management
 09-049 Guarding, Barricading, Signage and Housekeeping
SPR-IHS-SAF-006 Personal Protective Equipment
Downer References
DA-ZH-PR003 Training and Competency Management 
DA-ZH-PR028 Zero Harm Risk Management
DA-ZH-PR052 Personal Protective Equipment</t>
  </si>
  <si>
    <t>BHP References
 09-004 Training and Competency
 09-005 Hazard and Risk Management
 09-011 Light Vehicles, Buses &amp; Mobile Plant
 09-39 Bulk Earthworks and Civil Works
Downer References 
DA-ZH-PR003 Training and Competency Management
DA-ZH-PR028 Zero Harm Risk Management
DA-ZH-ST057 Vehicles and Mobile Plant</t>
  </si>
  <si>
    <t xml:space="preserve">BHP References
 09-003 Induction and Orientation
 09-004 Training &amp; Competency
 09-005 Hazard and Risk Management
 09-011 Light Vehicles, Buses &amp; Mobile Plant
 09-012 Traffic Management 
 09-036 Rail Safety
 09-048 Communication and Consultation 
Downer References
DA-ZH-PR003 Training and Competency Management 
DA-HR-PR001 Recruitment and Induction 
DA-ZH-PR013 Communication and Consultation
 DA-ZH-ST057 Vehicles and Mobile Plant
DA-ZH-PR135 Traffic Management
DA-ZH-PR107 Plant and Pedestrian Interface
DI-ZH-PO003 Rail Safety Policy </t>
  </si>
  <si>
    <t>Light Vehicles, Fixed Plant &amp; Mobile Plant not meeting BHP Standards</t>
  </si>
  <si>
    <t>BHP References
 09-011 Light Vehicles, Buses &amp; Mobile Plant
 09-037 Pressurized Equipment
 09-060 Light Vehicle Rollover Protection Requirements
SPR-IHS-000-001 Light and Road Going Vehicle Use
SPR-IHS-SAF-027 WAIO Requirements for Portable/Mobile Lighting Plants, Electrical Generators, Welding Machines, Electrical Distribution Boards, Compressors, Water Pumps and Fuel Trailers
SPR-IHS-SAF-098 WA Iron Ore Requirements for Light Vehicles and Surface Mobile Equipment
Downer References
DA-ZH-PR028 Zero Harm Risk Management
DA-ZH-PR057 Vehicles and Mobile Plant</t>
  </si>
  <si>
    <t>BHP References
 09-011 Light Vehicles, Buses &amp; Mobile Plant
 09-060 Light Vehicle Rollover Protection Requirements
SPR-IHS-000-001 Light and Road Going Vehicle Use
SPR-IHS-SAF-098 WA Iron Ore Requirements for Light Vehicles and Surface Mobile Equipment
Downer References
DA-ZH-PR028 Zero Harm Risk Management
DA-ZH-PR057 Vehicles and Mobile Plant</t>
  </si>
  <si>
    <t>BHP References
 09-014 Loading and Unloading
 09-005 Hazard and Risk Management
Downer References
DA-ZH-PR028 Zero Harm Risk Management</t>
  </si>
  <si>
    <t>BHP References
 09-005 Hazard and Risk Management
 09-011 Light Vehicles, Buses &amp; Mobile Plant
 09-014 Loading &amp; Unloading
Downer References 
DA-ZH-PR003 Training and Competency Management 
DA-ZH-PR028 Zero Harm Risk Management
DA-ZH-PR057 Vehicles and Mobile Plant</t>
  </si>
  <si>
    <t>BHP References
 09-004 Training and Competency
 09-005 Hazard and Risk Management
SPR-IHS-SAF-024 Isolation and Permit to Work- Isolation, Lockout and Tagging 
SPR-IHS-SAF-029 Cranage, Lifting &amp; Slinging 
Downer References
DA-ZH-PR003 Training and Competency Management
DA-ZH-PR028 Zero Harm Risk Management
DEDI-ZH-047-CG Cranes and Lifting Equipment</t>
  </si>
  <si>
    <t>BHP References
 09-004 Training &amp; Competency
 09-005 Hazard and Risk Management
 09-011 Light Vehicles, Buses &amp; Mobile Plant
 09-012 Traffic Management 
 09-048 Communication and Consultation 
Downer References
DA-ZH-PR003 Training and Competency Management  
DA-ZH-PR013 Communication and Consultation
 DA-ZH-ST057 Vehicles and Mobile Plant
DA-ZH-PR135 Traffic Management
DA-ZH-PR107 Plant and Pedestrian Interface
Downer Traffic Management Plan</t>
  </si>
  <si>
    <t>BHP References
 09-003 Induction and Orientation
 09-004 Training &amp; Competency
 09-005 Hazard and Risk Management
 09-011 Light Vehicles, Buses &amp; Mobile Plant
 09-012 Traffic Management 
 09-048 Communication and Consultation 
Downer References
DA-ZH-PR003 Training and Competency Management 
DA-ZH-PR022 Visitor and Contractor Management
DA-HR-PR001 Recruitment and Induction 
DA-ZH-PR013 Communication and Consultation
 DA-ZH-ST057 Vehicles and Mobile Plant
DA-ZH-PR135 Traffic Management
DA-ZH-PR107 Plant and Pedestrian Interface
Downer Traffic Management Plan</t>
  </si>
  <si>
    <t>BHP References
 09-004 Training and Competency
 09-005 Hazard and Risk Management
 09-017 Power and Hand Tools
SPR-IHS-SAF-024 Isolation and Permit to Work- Isolation, Lockout and Tagging 
Downer References
DA-ZH-PR003 Training and Competency Management
DA-ZH-PR028 Zero Harm Risk Management
DA-ZH-ST098 Fixed Plant and Powered Hand Tools</t>
  </si>
  <si>
    <t>BHP References
 09-003 Induction and Orientation
 09-004 Training &amp; Competency
 09-005 Hazard and Risk Management
 09-011 Light Vehicles, Buses &amp; Mobile Plant
 09-012 Traffic Management 
 09-036 Rail Safety
 09-048 Communication and Consultation 
Downer References
DA-ZH-PR003 Training and Competency Management 
DA-HR-PR001 Recruitment and Induction 
DA-ZH-PR013 Communication and Consultation
 DA-ZH-ST057 Vehicles and Mobile Plant
DA-ZH-PR135 Traffic Management
DA-ZH-PR107 Plant and Pedestrian Interface
DI-ZH-PO003 Rail Safety Policy 
Downer Traffic Management Plan</t>
  </si>
  <si>
    <t>BHP References
 09-004 Training &amp; Competency
 09-005 Hazard and Risk Management
 09-011 Light Vehicles, Buses &amp; Mobile Plant
SPR-IHS-SAF-024 Isolation and Permit to Work- Isolation, Lockout and Tagging 
Downer References
DA-ZH-PR003 Training and Competency Management 
DA-ZH-ST057 Vehicles and Mobile Plant</t>
  </si>
  <si>
    <t>BHP References
 09-004 Training and Competency 
 09-005 Hazard and Risk Management
 09-028 Manual Handling
 09-049 Guarding, Barricading, Signage and Housekeeping
SPR - IHS-SAF006-Personal Protective Equipment (PPE)
SPR - IHS-SAF-034-Hot Work Permit
SPR - IHS-SAF-071-Hot Work Overview
Downer References
DA-ZH-PR003 Training and Competency Management 
DA-ZH-PR028 Zero Harm Risk Management
DA-ZH-ST041 Hot Work
DA-ZH-PR052 Personal Protective Equipment
DA-ZH-PR085 Manual Handling and Ergonomics</t>
  </si>
  <si>
    <t>• Unaware of BHP compliance requirements
• Unaware of Western Australian compliance requirements
•  Poor project planning</t>
  </si>
  <si>
    <t>BHP References
 09-003 Induction and Orientation
 09-004 Training &amp; Competency
 09-011 Light Vehicles, Buses &amp; Mobile Plant
 09-39 Bulk Earthworks and Civil Works
Downer References
DA-ZH-PR003 Training and Competency Management 
DA-HR-PR001 Recruitment and Induction 
DA-ZH-ST057 Vehicles and Mobile Plant</t>
  </si>
  <si>
    <t>BHP References
 09-004 Training &amp; Competency
 09-005 Hazard and Risk Management
 09-100 Health and Safety Management Plan
Downer References
DA-ZH-PR003 Training and Competency Management
DA-ZH-PR028 Zero Harm Risk Management
Downer Health and Safety Management Plan</t>
  </si>
  <si>
    <t>BHP References
 09-004 Training and Competency 
 09-008 Site Access &amp; Security
 09-011 Light Vehicles, Buses &amp; Mobile Plant
 09-030 Fitness for Work
SPR-HR-GEN-005 BHP Approved Training Providers
SPR-IHS-SAF-098 WA Iron Ore Requirements for Light Vehicles and Surface Mobile Equipment
Downer References
DA-ZH-PR003 Training and Competency Management
DA-ZH-PR057 Vehicles and Mobile Plant</t>
  </si>
  <si>
    <t>BHP References
 09-003 Induction and Orientation
 09-004 Training &amp; Competency
SPR-IHS-SAF-029 Cranage, Lifting &amp; Slinging
Downer References
DA-ZH-PR003 Training and Competency Management 
DA-HR-PR001 Recruitment and Induction 
 DA-ZH-ST057 Vehicles and Mobile Plant
DEDI-ZH-047-CG Cranes and Lifting Equipment</t>
  </si>
  <si>
    <t>BHP References
 09-003 Induction and Orientation
 09-004 Training &amp; Competency
 09-011 Light Vehicles, Buses &amp; Mobile Plant
Downer References
DA-ZH-PR003 Training and Competency Management 
DA-HR-PR001 Recruitment and Induction 
DA-ZH-ST057 Vehicles and Mobile Plant</t>
  </si>
  <si>
    <t>BHP References
 09-030 Fitness for Work
SPR-IHS-SAFOH-004 Iron Ore Fatigue Management Plan
 09-100 Health and Safety Management Plan
Downer References
Downer Health and Safety Management Plan</t>
  </si>
  <si>
    <t>BHP References
 09-001 Contractor Selection &amp; Engagement
 09-003 Induction and Orientation
 09-008 Site Access &amp; Security
 09-030 Fitness for Work
 09-031 Medical, Injury and Illness Management
SPR-IHS-SAF-073 WAIO Drug and Alcohol Management 
SPR-IHS-SAFOH-004 Iron Ore Fatigue Management Plan
 09-100 Health and Safety Management Plan
Downer References
DI-ZH-PO002 Health and Safety Policy
DI-ZH-PO004 Smoking in the Workplace
DI-ZH-PO005 Alcohol and Other Drugs Policy
DA-ZH-PR022 Visitor and Contractor Management
DA-HR-PR001 Recruitment and Induction
Downer Health and Safety Management Plan</t>
  </si>
  <si>
    <t>BHP References
 09-030 Fitness for Work
Downer References
Downer Health and Safety Management Plan</t>
  </si>
  <si>
    <t>BHP References
 09-030 Fitness for Work
SPR-IHS-SAFOH-004 Iron Ore Fatigue Management Plan
 09-100 Health and Safety Management Plan
Downer References
Downer Health and Safety Management Plan
Downer Journey Management Plan</t>
  </si>
  <si>
    <t xml:space="preserve">BHP References
 09-003 Induction and Orientation
 09-004 Training &amp; Competency
 09-011 Light Vehicles, Buses &amp; Mobile Plant
 09-036 Rail Safety
Downer References
DA-ZH-PR003 Training and Competency Management 
DA-ZH-ST057 Vehicles and Mobile Plant
DI-ZH-PO003 Rail Safety Policy </t>
  </si>
  <si>
    <t>BHP References
 09-003 Induction and Orientation 
 09-004 Training and Competency 
 09-012 Traffic management
 09-036 Railroad Safety
 09-049 Guarding, Barricading, Signage and Housekeeping
Downer References
DA-HR-PR001 Recruitment and Induction
DA-ZH-PR003 Training and Competency Management
DA-ZH-PR013 Communication and Consultation
DA-ZH-PR107 Plant and Pedestrian Interface 
DI-ZH-PO003 Rail Safety Policy
DA-ZH-PR135 Traffic Management
Downer Health and Safety Management Plan</t>
  </si>
  <si>
    <t xml:space="preserve">BHP References
 09-003 Induction and Orientation
 09-004 Training &amp; Competency
SPR - IHS-SAF-034-Hot Work Permit
SPR - IHS-SAF-071-Hot Work Overview
 09-036 Rail Safety
Downer References
DA-ZH-PR003 Training and Competency Management 
DA-ZH-ST041 Hot Work
DI-ZH-PO003 Rail Safety Policy </t>
  </si>
  <si>
    <t>BHP References
 09-004 Training and Competency 
 09-036 Railroad Safety
 09-049 Guarding, Barricading, Signage and Housekeeping
Downer References
DA-ZH-PR003 Training and Competency Management
DA-ZH-PR013 Communication and Consultation
DI-ZH-PO003 Rail Safety Policy</t>
  </si>
  <si>
    <t>BHP References
 09-005 Hazard and Risk Management
SPR-IHS-SAF-018 Working at Heights-Fall Injury Prevention Systems 
SPR-IHS-SAF-082 Working at Heights
Downer References
DA-ZH-PR028 Zero Harm Risk Management
DA-ZH-PR042 Working at Heights</t>
  </si>
  <si>
    <t>BHP References
SPR-OHN-SAFES-001 Vehicle Escort - On and Off Site
Downer References
DA-ZH-PR022 Visitor and Contractor Management</t>
  </si>
  <si>
    <t>BHP References
 09-004 Training and Competency 
 09-008 Site Access &amp; Security
 09-011 Light Vehicles, Buses &amp; Mobile Plant
Downer References
DA-ZH-PR003 Training and Competency Management
DA-ZH-PR022 Visitor and Contractor Management</t>
  </si>
  <si>
    <t>BHP References
 09-004 Training and Competency
 09-005 Hazard and Risk Management
SPR-IHS-SAF-029 Cranage, Lifting &amp; Slinging 
Downer References 
DA-ZH-PR003 Training and Competency Management
DA-ZH-PR028 Zero Harm Risk Management
DEDI-ZH-047-CG Cranes and Lifting Equipment</t>
  </si>
  <si>
    <t>BHP References
 09-005 Hazard and Risk Management
 09-014 Loading and Unloading
Downer References
DA-ZH-PR028 Zero Harm Risk Management</t>
  </si>
  <si>
    <t>BHP References
 09-005 Hazard and Risk Management
SPR-IHS-SAF-001 WAIO Health &amp; Safety Excavation &amp; Penetration 
SPR- IHS-SAF-059 Authority to Work 
Downer References
DA-ZH-PR028 Zero Harm Risk Management
DA-ZH-ST043 Excavation Trenching and Services</t>
  </si>
  <si>
    <t>BHP References
 09-005 Hazard and Risk Management
 09-028 Manual Handling
SPR-IHS-SAF-006 Personal Protective Equipment  
Downer References
DA-ZH-PR085 Manual Handling and Ergonomics
DA-ZH-PR052 Personal Protective Equipment</t>
  </si>
  <si>
    <t>BHP References
 09-004 Training and Competency 
 09-005 Hazard and Risk Management
 09-028 Manual Handling
SPR - IHS-SAF006-Personal Protective Equipment (PPE)
Downer References
DA-ZH-PR003 Training and Competency Management 
DA-ZH-PR028 Zero Harm Risk Management
DA-ZH-PR052 Personal Protective Equipment
DA-ZH-PR085 Manual Handling and Ergonomics</t>
  </si>
  <si>
    <t>BHP References
 09-004 Training and Competency
 09-005 Hazard and Risk Management
 09-011 Light Vehicles, Buses &amp; Mobile Plant
Downer References 
DA-ZH-PR003 Training and Competency Management
DA-ZH-PR028 Zero Harm Risk Management
DA-ZH-ST057 Vehicles and Mobile Plant</t>
  </si>
  <si>
    <t>BHP References
 09-004 Training and Competency
 09-005 Hazard and Risk Management
Downer References 
DA-ZH-PR003 Training and Competency Management
DA-ZH-PR028 Zero Harm Risk Management</t>
  </si>
  <si>
    <t xml:space="preserve"> Trained and competent personnel identified through recruitment process 
Correct planning and scheduling 
Contractors to be inducted to site 
Plant and equipment to comply with  BHP Environmental and  site compliance inspection 
TOA/TWA</t>
  </si>
  <si>
    <t xml:space="preserve"> Trained and competent personnel identified through recruitment process 
Correct planning and scheduling 
Contractors to be inducted to site 
Plant and equipment to comply with  BHP Environmental and  site compliance inspection
TOA/TWA </t>
  </si>
  <si>
    <t xml:space="preserve">Exclusion zones implemented
 Lifting and rigging register developed  compliant to site requirements 
Daily  gear check  undertaken 
 Training and  VOC process developed, implemented and   communicated  to all personnel 
High risk activities controlled through audit and checklist system
TWA/TOA
</t>
  </si>
  <si>
    <t xml:space="preserve">Loss of human life 
Environmental loss, damage  and breach 
Infrastructure  damage
Community impact 
Breach of  the department of transport  &amp; ORS act &amp; legislation 
</t>
  </si>
  <si>
    <t xml:space="preserve">Exclusion Zones
TMP  communicated, implemented and  constantly reviewed
Contractor meeting schedule developed and implemented 
Positive communications procedure developed and training conducted 
Pre- planning prior to commencing contract 
TOA/TWA
</t>
  </si>
  <si>
    <t>Pedestrians hit by plant &amp; equipment   
Loss of human life 
Project delays
Compensation claim 
Legislative enquiry  
Damage in infrastructure</t>
  </si>
  <si>
    <t xml:space="preserve">Working without correct permits 
Inadequate TMP 
Poor communications
No Training or VOC process in place
Poor or no  planning undertaken 
Unsure of work scope and limitations of  boundaries  
No Track Protection
</t>
  </si>
  <si>
    <t xml:space="preserve">Compliance register schedule implemented 
Competent persons identified to tag &amp; test equipment 
Daily pre start checks 
Training and VOC competencies on Power tools, for all operators of power equipment 
Correct PPE
</t>
  </si>
  <si>
    <t xml:space="preserve">Usage of correct parts and equipment 
 maintenance schedule adhered to
 Training or VOC process in place 
Asset maintenance schedule developed 
Only qualified / trained personnel to be operate / Maintain plant &amp; equipment  
Spotters
</t>
  </si>
  <si>
    <t xml:space="preserve">Failure to provide pre start information on interactions with other contractors
Failure to implement Track Access Procedures
Failure to follow TPO directions
Uncontrolled energy </t>
  </si>
  <si>
    <t xml:space="preserve"> Exclusion zones implemented
General Alert information provided at pre start communications
Correct equipment  / guards 
Trained personnel
Positive communications, and allocated radio channels used 
 Risk assessment completed 
Audits / checks  undertaken 
Implement and communicate  TMP and scope  to all contractors through EPCM alert system, as required 
Hot works training and control
 </t>
  </si>
  <si>
    <t xml:space="preserve">Infrastructure property, 
plant  and equipment damage
Fatality
Bush fire 
</t>
  </si>
  <si>
    <t>No Exclusion Zones
Failure to follow Track Access Process
Failure to Follow TPO directions
Failure to follow supervisor instruction
No Hot works preparation</t>
  </si>
  <si>
    <t xml:space="preserve">Exclusion zones in place
TPO direction followed
Track Access procedure in place
WP4 Form implemented and adhered to
TMP  communicated, implemented and  constantly reviewed
Contractor meeting schedule developed and implemented 
Positive communications procedure developed and training conducted 
Pre- planning prior to commencing contract 
Hotworks Training and Control
Monitor weather broadcasts and fire bans
</t>
  </si>
  <si>
    <t>welding of rail</t>
  </si>
  <si>
    <t xml:space="preserve">Personal injury 
bushfire
Infrastructure damage
</t>
  </si>
  <si>
    <t xml:space="preserve">Inadequate training  
failure to follow process
Incorrect PPE  
failure to implement exclusion zones
no hot works training                                     </t>
  </si>
  <si>
    <t xml:space="preserve"> Trained and competent personnel identified through recruitment and VOC  process 
Scheduled audits and inspections of safety management system 
 </t>
  </si>
  <si>
    <t xml:space="preserve"> Risk assessment  to be completed  prior to starting task 
 Provide PPE to personnel 
Correct PPE
 Implementation of  safe lifting technique sessions 
 Correct  planning prior task 
Supervision to monitor review Risk assessments 
Barricading
</t>
  </si>
  <si>
    <t xml:space="preserve">Faulty equipment
Excessive risk tolerance
poor environmental conditions
inadequate Supervision
bystanders
</t>
  </si>
  <si>
    <t xml:space="preserve"> Manual handling </t>
  </si>
  <si>
    <t xml:space="preserve"> Experienced Trained &amp; competent  personnel  identify  through recruitment process
 Correct lifting techniques  &amp; use of mechanical aids  
proper  manual handling training 
correct inspection of hand tools</t>
  </si>
  <si>
    <t xml:space="preserve">Usage of correct parts and equipment 
 maintenance schedule adhered to
 Training or VOC process in place 
Asset maintenance schedule developed 
Only qualified / trained personnel to be operate / Maintain plant &amp; equipment  
Statutory inspections completed as required
</t>
  </si>
  <si>
    <t xml:space="preserve">TPO direction followed
Track Access procedure in place
WP4 Form implemented and adhered to
TMP  communicated, implemented and  constantly reviewed
Contractor meeting schedule developed and implemented 
Positive communications procedure developed and training conducted 
Pre- planning prior to commencing contract 
Barricading
Exclusion Zones
</t>
  </si>
  <si>
    <t xml:space="preserve">Usage of correct parts and equipment 
 maintenance schedule adhered to
 Training or VOC process in place 
Asset maintenance schedule developed 
Only qualified / trained personnel to be operate / Maintain plant &amp; equipment  
Exclusion zones
</t>
  </si>
  <si>
    <t>Exclusion zone implemented around work area.
Screens/Barriers erected
Tested and tagged equipment,
Welding screens utilised where possible;
 Provision of emergency equipment, including fire extinguishers and first aid kits;
 Restraint devices for cords/leads;
Gas bottles restrained in an upright position by chains;
Gas bottles transported in an upright position by suitable trolleys or other mechanical aids;
 Provision of appropriate storage facilities for gasses (e.g. segregation from non-compatible substances);
Monitor local fire bans ahead of planned tasks</t>
  </si>
  <si>
    <t xml:space="preserve">Single Fatality 
Project delay
Track damage 
Legislative Reportable incident 
Financial loss 
Plant / truck  rollover 
Load failure / dropped objects 
</t>
  </si>
  <si>
    <t xml:space="preserve">Single Fatality 
Project delay
Track damage 
Legislative Reportable incident 
Financial loss 
Crane collapse 
insufficient risk assessment 
</t>
  </si>
  <si>
    <t xml:space="preserve">MTI 
Minor Track damage 
Minimum financial loss 
</t>
  </si>
  <si>
    <t xml:space="preserve">
Major  Track damage 
Project delays 
Financial loss   </t>
  </si>
  <si>
    <t xml:space="preserve">
Minor  Track damage 
Project delays 
Financial loss   </t>
  </si>
  <si>
    <t xml:space="preserve">Track damage 
Breaches of state law traffic and Mines Act  legislation  
financial penalties 
</t>
  </si>
  <si>
    <t xml:space="preserve">Emergency management process implemented 
Track, building audits and Q&amp; A process system in place
 Reliable weather forecasting information source i.e. BOM etc 
Early warning detection systems implemented through warning network
</t>
  </si>
  <si>
    <t xml:space="preserve">Single fatality 
Minor Track damage </t>
  </si>
  <si>
    <t xml:space="preserve">Track property, plant  and equipment damage
injury 
Loss of life
</t>
  </si>
  <si>
    <t>Minor injury 
Track damage</t>
  </si>
  <si>
    <t xml:space="preserve">Track property, plant  and equipment damage
injury, loss of life 
</t>
  </si>
  <si>
    <t xml:space="preserve">Track property, plant  and equipment damage
injury 
</t>
  </si>
  <si>
    <t xml:space="preserve">Track property, plant  and equipment damage
Fatality 
</t>
  </si>
  <si>
    <t xml:space="preserve">Injury
Minor Track damage </t>
  </si>
  <si>
    <t>Track not built to specifications
Unable to utilise tracks
Rework to meet specifications
Track damage</t>
  </si>
  <si>
    <t xml:space="preserve">Track damage
Reputational loss
Commercial loss </t>
  </si>
  <si>
    <t xml:space="preserve">Single Fatality 
Project delay
Track damage 
Legislative Reportable incident 
Financial loss 
Crane collapse 
Insufficient risk assessment 
</t>
  </si>
  <si>
    <t xml:space="preserve">Personal injury
Project delay
Track damage 
Legislative Reportable incident 
Financial loss 
Plant / truck  rollover 
Load failure / dropped objects 
</t>
  </si>
  <si>
    <t>Scheduled audits and inspections of safety management system 
Personnel placed on neccessary training course
Removal of personnel from site</t>
  </si>
  <si>
    <t xml:space="preserve">Daily  gear check  undertaken 
Cease use of non compliant equipment
Arrangements made to replace non compliant equipment
Lessons learnt process  developed,  implemented and  timely actioned  
</t>
  </si>
  <si>
    <t xml:space="preserve">Inspect location prior to lift
Suspend lifting operations
Use neccessary plant to level and compact ground 
</t>
  </si>
  <si>
    <t xml:space="preserve">Perform prelift inspection
Use survey data/drawings to relocate to correct location
Lower suspended load to ground before relocating
</t>
  </si>
  <si>
    <t xml:space="preserve">Exclusion zones implemented
TOA in place
TPO on site
Mobilisation of new plant and equipment
Lessons learnt process  developed,  implemented and  timely actioned
</t>
  </si>
  <si>
    <t xml:space="preserve">Emergency response plan
VHF radios
Exclusion Zones
TMP communicated, implemented and  constantly reviewed
</t>
  </si>
  <si>
    <t xml:space="preserve">Do not perform lift 
Ensure housekeeping is in good order
Emergency management process implemented 
Reliable weather forecasting information source i.e. BOM etc 
Early warning detection systems implemented through warning network
</t>
  </si>
  <si>
    <t>Recover plant/vehicle from vulnerable location
Audit plant and equipment on site
Competent personnel
Inform plant hire company / maintenance workshop</t>
  </si>
  <si>
    <t xml:space="preserve">Trained and competent personnel identified through recruitment process 
Work methodology reconsidered
Buffer paths on formation identified with barricading
Contractors to be inducted to site 
Plant and equipment to comply with  BHP Environmental and  site compliance inspection </t>
  </si>
  <si>
    <t xml:space="preserve">Use spill kits
Bund area to minimise spreading
Contact BHPBIO Environmental team
Comply with PEAHR conditions
</t>
  </si>
  <si>
    <t xml:space="preserve">Comply with PEAHR condition
Registered and licenced  contractor to be utilised 
Trained personnel of handling of hazardous substances 
Fatigue management procedure implemented and constantly  monitored 
Emergency response and chemical spill training 
 Approved  Hazardous Storage facilities and transport vehicles 
</t>
  </si>
  <si>
    <t xml:space="preserve">Use necessary plant and equipment to re-stack
Identify new lay-down area
Level ground surface
Inspect stacks before performing each lift
Cordon off with barricading
  </t>
  </si>
  <si>
    <t xml:space="preserve">Work crew notified of day's activities at pre-start
Radio communication between all work personnel
Exclusion zone in place
Prelift check and inspection complete
</t>
  </si>
  <si>
    <t>Additional PPE worn to standard issue
Exclusion zone implemented around work area.
Screens/Barriers erected
Tested and tagged equipment,
Welding screens utilised where possible;
 Provision of emergency equipment, including fire extinguishers and first aid kits;
 Provision of appropriate storage facilities for gasses (e.g. segregation from non-compatible substances);</t>
  </si>
  <si>
    <t xml:space="preserve">Look out for work mates and speak up to stop the job and provide advice
Provide PPE to personnel 
Correct PPE
Implementation of  safe lifting technique revision sessions 
Supervision to monitor review Risk assessments 
</t>
  </si>
  <si>
    <t xml:space="preserve">Pre start to communicate General alerts, contractor movements
Designated and demarcated work areas
Radio communication signs in place to notify/remind work crews
Positive communications, and allocated radio channels used 
Implement and communicate  TMP and scope  to all contractors through EPCM alert system, as required 
 </t>
  </si>
  <si>
    <t>First aid administered to IP
Remove IP from site and place IP indoors</t>
  </si>
  <si>
    <t>Moving plant to and from site (on track)</t>
  </si>
  <si>
    <t>Rail Mounted
Equipment/vehicle Interaction.
Plant Damage.
Location damage
Collision</t>
  </si>
  <si>
    <t xml:space="preserve">Single Fatality 
Project delay
Track damage 
Legislative Reportable incident 
Financial loss 
Insufficient risk assessment 
</t>
  </si>
  <si>
    <t>Complacency
Familiarity
Inexperienced
Unfit for Work
Failure to Adhere to procedure.
Operated out side design rules
Uneven ground,
Travelling too fast,
Plant brake down.
Not parked in a position of safety
Other drivers complacency/driving practices.
Non adherence to existing procedures/Work Instructions.
Failure to complete a Take 5 risk assessment.
Rail Mounted Equipment/vehicle Interaction.</t>
  </si>
  <si>
    <t xml:space="preserve">Maintain communication through UHF and VHF radios 
TMP planned and approved
Only planned track maintenance activities performed
TMMs approved to be on rail network 
</t>
  </si>
  <si>
    <t xml:space="preserve">Loss of human life 
permanent disability 
Breach of BHP policies and procedures 
Equipment failure 
Dropped objects 
Crane collapse
Fouling of track causing track damage and train delays 
Legislative Reportable incident 
</t>
  </si>
  <si>
    <t xml:space="preserve">Loss of human life 
permanent disability 
Equipment failure 
Crane collapse 
Fouling of track causing track damage and train delays
Crane  damage 
</t>
  </si>
  <si>
    <t xml:space="preserve">Loss of human life 
Environmental loss, damage  and breach 
Fouling of track causing track damage and train delays
Community impact 
Breach of  the department of transport  act &amp; legislation 
</t>
  </si>
  <si>
    <t xml:space="preserve">Floods
Storm damage
 Loss of  productivity
Environmental damage
Crane Collapse
Fouling of track causing track damage and train delays
Loss of life ( Human &amp; Animals) 
Community damage / loss 
</t>
  </si>
  <si>
    <t>Communications failure</t>
  </si>
  <si>
    <t xml:space="preserve">Rail Mounted Equipment/Personnel Interaction.
Rail Mounted Equipment/Rail Mounted Equipment Interaction.
Derailment Incident.
Loss of life
Equipment damage
</t>
  </si>
  <si>
    <t>Conduct a risk assessment (Take 5).
Operater has completed and vaild VOC/licence.
Train Controllers hold current required competency levels.
Visually checking the trackside location signage to confirm location of crossing and orientation (East &amp; West tracks).
Strict adherence to Communications protocols.
Strict adherence to Safeworking procedures.
Strict adherence to procedure when verifying location with Track Shorting cables
Strict adherence to adjacent track procedure
Handheld VHF radio to be carried as back-up and also fitted with UHF</t>
  </si>
  <si>
    <t xml:space="preserve">No pre-start  checks completed    
No risk assessment completed 
No audits / checks  undertaken 
No training and  VOC process in place 
  </t>
  </si>
  <si>
    <t xml:space="preserve">Cease work
Perform radio check
Perform change management risk assessment
Sufficient radio battery chargers and spare radios available
</t>
  </si>
  <si>
    <t>Track damage
Plant and equipment damage
Minor injury</t>
  </si>
  <si>
    <t>Equipment</t>
  </si>
  <si>
    <t>Laying of Rail</t>
  </si>
  <si>
    <t xml:space="preserve">Rail Mounted Equipment/Personnel Interaction.
SME/Personnel Interaction.
Derailment Incident.
Loss of life
Equipment damage
</t>
  </si>
  <si>
    <t xml:space="preserve">Rail Mounted Equipment/Personnel Interaction.
SME/Personnel Interaction
Loss of life
Equipment damage
</t>
  </si>
  <si>
    <t xml:space="preserve">Rail Mounted Equipment/Personnel Interaction.
SME/Personnel Interaction.
Loss of life
Equipment damage
</t>
  </si>
  <si>
    <t>Operating TMMs on Mainline</t>
  </si>
  <si>
    <t xml:space="preserve">No pre-start  checks completed    
No risk assessment completed 
No audits / checks  undertaken 
No training and  VOC process in place 
Poor Planning
  </t>
  </si>
  <si>
    <t>Daily activities to be communicated to work crew during safe start
Work crew to understand procedure for working adjacent to track
Operator to hold valid VOC
Operator to be trained in BHPBIO procedures for track
Operator to maintain communiction with train control and TPO</t>
  </si>
  <si>
    <t>Failure to conduct a full pre-start check (radio etc).
Operator not the holder of a current Certificate of Competency, or under the direct supervision of someone with the relevant qualification.
Non adherence to Communication protcols.
Train Controller competency level inadequate.
Non adherence to Train Control procedure.
Failure to comply with Safeworking procedure.
Incorrect identification of location.
Failure to correctly verify location (Track Shorting Cables).
Failure to complete a Take 5 risk assessment.</t>
  </si>
  <si>
    <t>Failure to conduct a full pre-start check 
Operator not the holder of a current Certificate of Competency, or under the direct supervision of someone with the relevant qualification.
Non adherence to Communication protcols.
Train Controller competency level inadequate.
Non adherence to Train Control procedure.
Failure to comply with Safeworking procedure.
Incorrect identification of location.
Failure to correctly verify location (Track Shorting Cables).
Failure to complete a Take 5 risk assessment.</t>
  </si>
  <si>
    <t>Grinding of Welds</t>
  </si>
  <si>
    <t>Axle Failure,
Tyres/Wheels wear beyond limits.
Uncertified Ropes causing attachments to fall.
Potential for run away.
Speeding when travelling
Complacency
Familiarity
Inexperienced
Unfit for Work
Operated out side design rules</t>
  </si>
  <si>
    <t xml:space="preserve">Exclusion Zones
Operate under TPO Direction and with appropriate level of track protection in place(Refer RRB M02)
TMP  communicated, implemented and  constantly reviewed
Contractor meeting schedule developed and implemented 
Positive communications procedure developed and training conducted 
Pre- planning prior to commencing contract 
</t>
  </si>
  <si>
    <t xml:space="preserve">Emergency management plan implemented
VHF radio communications
Exclusion Zones in place
Cease work activities
Operate under TPO Direction and with appropriate level of track protection in place(Refer RRB M02)
</t>
  </si>
  <si>
    <t xml:space="preserve">Exclusion Zones
Operate under TPO Direction and with appropriate level of track protection in place(Refer RRB M02)
TMP  communicated, implemented and  constantly reviewed
WP4 form Implemented
Contractor meeting schedule developed and implemented 
Positive communications procedure developed and training conducted 
Pre- planning prior to commencing contract 
</t>
  </si>
  <si>
    <t xml:space="preserve">Operate under TPO Direction and with appropriate level of track protection in place(Refer RRB M02)
Usage of correct parts and equipment 
 maintenance schedule adhered to
 Training or VOC process in place 
Asset maintenance schedule developed 
Only qualified / trained personnel to operate / Maintian plant &amp; equipment  
</t>
  </si>
  <si>
    <t xml:space="preserve">Follow Operate under TPO Direction and with appropriate level of track protection in place(Refer RRB M02)
 Trained and competent personnel identified through recruitment process 
procedure for working on uneven surfaces implemented
job rotation implemented 
work redesign considered
buffer paths on formation identified with barricading
Correct planning and scheduling 
Contractors to be inducted to site 
Plant and equipment to comply with  BHP Environmental and  site compliance inspection </t>
  </si>
  <si>
    <t xml:space="preserve"> Operate under TPO Direction and with appropriate level of track protection in place(Refer RRB M02)
Exclusion zones implemented
Pre-start  checks completed    
Correct equipment 
Trained VOC'd  personnel
High risk licenced operator 
Risk assessment completed 
Audits / checks  undertaken 
Loading / unloading procedures implemented 
  </t>
  </si>
  <si>
    <t>Crane Operations (Lifting Tamper and Regulator off Mainline on to Construction Track)</t>
  </si>
  <si>
    <t xml:space="preserve">TMM prestart completed and passed
TMM personnel completed and pass prestart/ fit for work
TMMs fitted with working UHF and VHF radios 
TMMs maintenance records
TMP planned and approved
TMMs approved to be on rail network 
Trained personnel with VOC/licence
Planned track maintenance activities performed
</t>
  </si>
  <si>
    <t>Tamping, Regulating &amp; FBW</t>
  </si>
  <si>
    <t>Safe-Starts, Pre-Starts, Services and Inspection to be performed as per schedule.
All testing &amp; tagging to be current.
TMM &amp; FBW to be operated in accordance with OMM
Ensure TMMs approved scheduled inspection for serviceability is completed.
Ensure TMMs critical component checks is completed. Machine is to be tagged out idf unserviceable
Warning stickers fitted.
Strict adherence to Safeworking procedures.
Operate under Train control or TPO Direction and with appropriate level of track protection in place(Refer RRB M02)
Ensure work group is managed to avoid interacting with larger Surface Mobile Plant.
Licenced and Competent operators only.
Operator to hold a current nationally recognized competency for Track Machine Operation (TMO)
Exit TMM on to track live side shall not occur without adjacent track</t>
  </si>
  <si>
    <t xml:space="preserve">Exclusion zones in place
Operate under TPO Direction and with appropriate level of track protection in place(Refer RRB M02)
WP4 Form implemented and adhered to
Contractor meeting schedule developed and implemented 
Positive communications procedure developed and training conducted 
Pre- planning prior to commencing contract 
</t>
  </si>
  <si>
    <t xml:space="preserve">Operate under TPO Direction and with appropriate level of track protection in place(Refer RRB M02)
Trained and competent personnel identified through recruitment and VOC  process 
Scheduled audits and inspections of safety management system 
 </t>
  </si>
  <si>
    <t xml:space="preserve">Operate under TPO Direction and with appropriate level of track protection in place(Refer RRB M02)
Contractor meeting schedule developed and implemented 
Positive communications procedure developed and training conducted 
Pre- planning prior to commencing contract 
</t>
  </si>
  <si>
    <t xml:space="preserve">Exclusion zones implemented
Operate under TPO Direction and with appropriate level of track protection in place(Refer RRB M02)
Trained and competent personnel identified through recruitment and VOC  process 
Scheduled audits and inspections of safety management system 
 </t>
  </si>
  <si>
    <t xml:space="preserve"> Trained and competent personnel identified through recruitment and VOC  process 
Scheduled audits and inspections of safety management system 
Operate under TPO Direction and with appropriate level of track protection in place(Refer RRB M02)
 </t>
  </si>
  <si>
    <t xml:space="preserve">Lifting and rigging register developed  compliant to site requirements 
Daily  gear check  undertaken 
Training and  VOC process developed, implemented and   communicated  to all personnel 
HR recruitment process developed &amp; reviewed periodically
Lessons learnt process  developed,  implemented and  timely actioned  
Health &amp; safety management system to be reviewed periodically 
Operate under TPO Direction and with appropriate level of track protection in place(Refer RRB M02)
</t>
  </si>
  <si>
    <t xml:space="preserve"> Correct surveying of area 
Ground compaction test completed and signed off 
Correct planning 
Risk assessments completed 
Trained and VOC competent personnel 
Civil works completed to required standard  
Operate under TPO Direction and with appropriate level of track protection in place(Refer RRB M02)
</t>
  </si>
  <si>
    <t>Lifting and rigging register developed  compliant to site requirements 
Daily  gear check  undertaken 
Mobilise a crane with greater capacity
Operator experience and plant familirality
Lower load to ground</t>
  </si>
  <si>
    <t xml:space="preserve">Lifting and rigging register developed  compliant to site requirements 
Daily  gear check  undertaken 
Training and  VOC process developed, implemented and   communicated  to all personnel 
HR recruitment process developed &amp; reviewed periodically
Lessons learnt process  developed,  implemented and  timely actioned  
Health &amp; safety management system to be reviewed periodically 
Review load against SWL
</t>
  </si>
  <si>
    <t>Incorrect positioning crane</t>
  </si>
  <si>
    <t xml:space="preserve">Loss of human life 
permanent disability 
Equipment failure 
Crane collapse 
</t>
  </si>
  <si>
    <t xml:space="preserve">Single Fatality 
Project delay
Fouling of track causing track damage and train delays
Equipment/Rail Mounted Equipment Interaction.
Legislative Reportable incident 
Financial loss 
Plant / truck  rollover 
Load failure / dropped objects 
</t>
  </si>
  <si>
    <t xml:space="preserve">Loss of human life 
Fouling of track causing track damage and train delays
Equipment/Rail Mounted Equipment Interaction.
Permanent disability 
Breach of BHP policies and procedures 
Equipment failure 
Dropped objects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</si>
</sst>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5" x14ac:knownFonts="1">
    <font>
      <sz val="10"/>
      <name val="Arial"/>
    </font>
    <font>
      <sz val="11"/>
      <color theme="1"/>
      <name val="Arial"/>
      <family val="2"/>
    </font>
    <font>
      <sz val="10"/>
      <name val="Arial"/>
      <family val="2"/>
    </font>
    <font>
      <b/>
      <sz val="12"/>
      <name val="Arial"/>
      <family val="2"/>
    </font>
    <font>
      <sz val="10"/>
      <name val="Arial"/>
      <family val="2"/>
    </font>
    <font>
      <sz val="11"/>
      <name val="Arial"/>
      <family val="2"/>
    </font>
    <font>
      <b/>
      <sz val="11"/>
      <name val="Arial"/>
      <family val="2"/>
    </font>
    <font>
      <sz val="12"/>
      <name val="Arial"/>
      <family val="2"/>
    </font>
    <font>
      <b/>
      <sz val="10"/>
      <name val="Arial"/>
      <family val="2"/>
    </font>
    <font>
      <b/>
      <sz val="10"/>
      <color indexed="9"/>
      <name val="Arial"/>
      <family val="2"/>
    </font>
    <font>
      <sz val="8"/>
      <name val="Arial"/>
      <family val="2"/>
    </font>
    <font>
      <b/>
      <sz val="14"/>
      <name val="Arial"/>
      <family val="2"/>
    </font>
    <font>
      <sz val="10"/>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color indexed="9"/>
      <name val="Arial"/>
      <family val="2"/>
    </font>
    <font>
      <b/>
      <sz val="20"/>
      <name val="Arial"/>
      <family val="2"/>
    </font>
    <font>
      <sz val="20"/>
      <name val="Arial"/>
      <family val="2"/>
    </font>
    <font>
      <b/>
      <sz val="9"/>
      <name val="Arial"/>
      <family val="2"/>
    </font>
    <font>
      <sz val="12"/>
      <color indexed="10"/>
      <name val="Arial"/>
      <family val="2"/>
    </font>
    <font>
      <b/>
      <sz val="10"/>
      <color indexed="8"/>
      <name val="Arial"/>
      <family val="2"/>
    </font>
    <font>
      <sz val="10"/>
      <color indexed="8"/>
      <name val="Arial"/>
      <family val="2"/>
    </font>
    <font>
      <b/>
      <sz val="14"/>
      <color rgb="FFFF0000"/>
      <name val="Arial"/>
      <family val="2"/>
    </font>
    <font>
      <b/>
      <i/>
      <sz val="10"/>
      <color theme="0" tint="-0.499984740745262"/>
      <name val="Arial"/>
      <family val="2"/>
    </font>
    <font>
      <b/>
      <sz val="14"/>
      <color indexed="9"/>
      <name val="Arial"/>
      <family val="2"/>
    </font>
    <font>
      <sz val="8"/>
      <name val="Tahoma"/>
      <family val="2"/>
    </font>
    <font>
      <u/>
      <sz val="8"/>
      <name val="Tahoma"/>
      <family val="2"/>
    </font>
    <font>
      <b/>
      <u/>
      <sz val="18"/>
      <name val="Arial"/>
      <family val="2"/>
    </font>
    <font>
      <b/>
      <sz val="16"/>
      <name val="Arial"/>
      <family val="2"/>
    </font>
    <font>
      <b/>
      <sz val="18"/>
      <name val="Arial"/>
      <family val="2"/>
    </font>
    <font>
      <b/>
      <sz val="14"/>
      <color theme="0"/>
      <name val="Arial"/>
      <family val="2"/>
    </font>
    <font>
      <b/>
      <sz val="18"/>
      <name val="Arial Narrow"/>
      <family val="2"/>
    </font>
    <font>
      <sz val="12"/>
      <name val="Arial Narrow"/>
      <family val="2"/>
    </font>
    <font>
      <sz val="12"/>
      <name val="Tahoma"/>
      <family val="2"/>
    </font>
    <font>
      <b/>
      <sz val="12"/>
      <name val="Tahoma"/>
      <family val="2"/>
    </font>
    <font>
      <b/>
      <u/>
      <sz val="14"/>
      <name val="Arial"/>
      <family val="2"/>
    </font>
    <font>
      <b/>
      <u/>
      <sz val="16"/>
      <name val="Arial"/>
      <family val="2"/>
    </font>
    <font>
      <sz val="10"/>
      <name val="Century Gothic"/>
      <family val="2"/>
    </font>
    <font>
      <b/>
      <sz val="10"/>
      <name val="Century Gothic"/>
      <family val="2"/>
    </font>
    <font>
      <sz val="8"/>
      <color indexed="23"/>
      <name val="Century Gothic"/>
      <family val="2"/>
    </font>
    <font>
      <b/>
      <sz val="14"/>
      <name val="Century Gothic"/>
      <family val="2"/>
    </font>
    <font>
      <b/>
      <sz val="11"/>
      <name val="Century Gothic"/>
      <family val="2"/>
    </font>
    <font>
      <sz val="11"/>
      <name val="Century Gothic"/>
      <family val="2"/>
    </font>
    <font>
      <b/>
      <sz val="11"/>
      <color indexed="9"/>
      <name val="Century Gothic"/>
      <family val="2"/>
    </font>
    <font>
      <sz val="11"/>
      <color indexed="9"/>
      <name val="Century Gothic"/>
      <family val="2"/>
    </font>
    <font>
      <sz val="9"/>
      <color indexed="9"/>
      <name val="Century Gothic"/>
      <family val="2"/>
    </font>
    <font>
      <b/>
      <sz val="10"/>
      <color theme="1"/>
      <name val="Century Gothic"/>
      <family val="2"/>
    </font>
    <font>
      <b/>
      <sz val="10"/>
      <color indexed="23"/>
      <name val="Century Gothic"/>
      <family val="2"/>
    </font>
    <font>
      <sz val="8"/>
      <color indexed="81"/>
      <name val="Tahoma"/>
      <family val="2"/>
    </font>
    <font>
      <b/>
      <sz val="8"/>
      <color indexed="81"/>
      <name val="Tahoma"/>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54"/>
        <bgColor indexed="64"/>
      </patternFill>
    </fill>
    <fill>
      <patternFill patternType="solid">
        <fgColor indexed="43"/>
        <bgColor indexed="64"/>
      </patternFill>
    </fill>
    <fill>
      <patternFill patternType="solid">
        <fgColor indexed="47"/>
        <bgColor indexed="64"/>
      </patternFill>
    </fill>
    <fill>
      <patternFill patternType="solid">
        <fgColor indexed="17"/>
        <bgColor indexed="64"/>
      </patternFill>
    </fill>
    <fill>
      <patternFill patternType="solid">
        <fgColor indexed="22"/>
        <bgColor indexed="22"/>
      </patternFill>
    </fill>
    <fill>
      <patternFill patternType="solid">
        <fgColor theme="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indexed="26"/>
        <bgColor indexed="47"/>
      </patternFill>
    </fill>
    <fill>
      <patternFill patternType="solid">
        <fgColor rgb="FF444744"/>
        <bgColor indexed="64"/>
      </patternFill>
    </fill>
    <fill>
      <patternFill patternType="solid">
        <fgColor theme="1" tint="0.249977111117893"/>
        <bgColor indexed="64"/>
      </patternFill>
    </fill>
    <fill>
      <patternFill patternType="solid">
        <fgColor indexed="55"/>
        <bgColor indexed="64"/>
      </patternFill>
    </fill>
    <fill>
      <patternFill patternType="solid">
        <fgColor theme="3" tint="0.59999389629810485"/>
        <bgColor indexed="22"/>
      </patternFill>
    </fill>
    <fill>
      <patternFill patternType="solid">
        <fgColor rgb="FFFFFF00"/>
        <bgColor indexed="64"/>
      </patternFill>
    </fill>
    <fill>
      <patternFill patternType="solid">
        <fgColor rgb="FF92D050"/>
        <bgColor indexed="64"/>
      </patternFill>
    </fill>
  </fills>
  <borders count="8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top/>
      <bottom style="medium">
        <color indexed="64"/>
      </bottom>
      <diagonal/>
    </border>
    <border>
      <left/>
      <right/>
      <top style="thin">
        <color indexed="64"/>
      </top>
      <bottom/>
      <diagonal/>
    </border>
    <border>
      <left style="medium">
        <color indexed="64"/>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444744"/>
      </left>
      <right style="medium">
        <color theme="0"/>
      </right>
      <top style="medium">
        <color rgb="FF444744"/>
      </top>
      <bottom/>
      <diagonal/>
    </border>
    <border>
      <left style="medium">
        <color theme="0"/>
      </left>
      <right style="medium">
        <color theme="0"/>
      </right>
      <top style="medium">
        <color rgb="FF444744"/>
      </top>
      <bottom/>
      <diagonal/>
    </border>
    <border>
      <left style="medium">
        <color theme="0"/>
      </left>
      <right style="medium">
        <color rgb="FF444744"/>
      </right>
      <top style="medium">
        <color rgb="FF444744"/>
      </top>
      <bottom/>
      <diagonal/>
    </border>
    <border>
      <left style="medium">
        <color indexed="64"/>
      </left>
      <right style="medium">
        <color theme="0"/>
      </right>
      <top style="medium">
        <color indexed="64"/>
      </top>
      <bottom/>
      <diagonal/>
    </border>
    <border>
      <left style="medium">
        <color theme="0"/>
      </left>
      <right style="medium">
        <color theme="0"/>
      </right>
      <top style="medium">
        <color indexed="64"/>
      </top>
      <bottom style="medium">
        <color indexed="64"/>
      </bottom>
      <diagonal/>
    </border>
    <border>
      <left style="medium">
        <color theme="0"/>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s>
  <cellStyleXfs count="4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7" fillId="21" borderId="2" applyNumberFormat="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7" borderId="1" applyNumberFormat="0" applyAlignment="0" applyProtection="0"/>
    <xf numFmtId="0" fontId="24" fillId="0" borderId="6" applyNumberFormat="0" applyFill="0" applyAlignment="0" applyProtection="0"/>
    <xf numFmtId="0" fontId="25" fillId="22" borderId="0" applyNumberFormat="0" applyBorder="0" applyAlignment="0" applyProtection="0"/>
    <xf numFmtId="0" fontId="2" fillId="23" borderId="7" applyNumberFormat="0" applyFont="0" applyAlignment="0" applyProtection="0"/>
    <xf numFmtId="0" fontId="26" fillId="20" borderId="8" applyNumberFormat="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0" borderId="0" applyNumberFormat="0" applyFill="0" applyBorder="0" applyAlignment="0" applyProtection="0"/>
    <xf numFmtId="0" fontId="1" fillId="0" borderId="0"/>
    <xf numFmtId="0" fontId="40" fillId="32" borderId="0"/>
    <xf numFmtId="0" fontId="2" fillId="0" borderId="0"/>
    <xf numFmtId="164" fontId="7" fillId="35" borderId="59">
      <alignment horizontal="center" vertical="center"/>
    </xf>
  </cellStyleXfs>
  <cellXfs count="446">
    <xf numFmtId="0" fontId="0" fillId="0" borderId="0" xfId="0"/>
    <xf numFmtId="0" fontId="7" fillId="0" borderId="0" xfId="0" applyFont="1"/>
    <xf numFmtId="0" fontId="4" fillId="0" borderId="0" xfId="0" applyFont="1" applyAlignment="1">
      <alignment vertical="center" wrapText="1"/>
    </xf>
    <xf numFmtId="0" fontId="8" fillId="0" borderId="17" xfId="0" applyFont="1" applyBorder="1" applyAlignment="1">
      <alignment horizontal="center" vertical="center"/>
    </xf>
    <xf numFmtId="0" fontId="8" fillId="0" borderId="19" xfId="0" applyFont="1" applyBorder="1" applyAlignment="1">
      <alignment horizontal="center" vertical="center"/>
    </xf>
    <xf numFmtId="0" fontId="9" fillId="24" borderId="20" xfId="0" applyFont="1" applyFill="1" applyBorder="1" applyAlignment="1">
      <alignment horizontal="center" vertical="center" wrapText="1"/>
    </xf>
    <xf numFmtId="0" fontId="9" fillId="24" borderId="21" xfId="0" applyFont="1" applyFill="1" applyBorder="1" applyAlignment="1">
      <alignment horizontal="center" vertical="center" wrapText="1"/>
    </xf>
    <xf numFmtId="0" fontId="9" fillId="24" borderId="22" xfId="0" applyFont="1" applyFill="1" applyBorder="1" applyAlignment="1">
      <alignment horizontal="center" vertical="center" wrapText="1"/>
    </xf>
    <xf numFmtId="0" fontId="9" fillId="24" borderId="23" xfId="0" applyFont="1" applyFill="1" applyBorder="1" applyAlignment="1">
      <alignment horizontal="center" vertical="center" wrapText="1"/>
    </xf>
    <xf numFmtId="0" fontId="4" fillId="0" borderId="0" xfId="0" applyFont="1" applyAlignment="1">
      <alignment vertical="center"/>
    </xf>
    <xf numFmtId="0" fontId="5" fillId="0" borderId="0" xfId="0" applyFont="1" applyAlignment="1">
      <alignment horizontal="center" vertical="center"/>
    </xf>
    <xf numFmtId="0" fontId="4" fillId="0" borderId="0" xfId="0" applyFont="1"/>
    <xf numFmtId="0" fontId="4" fillId="0" borderId="33" xfId="0" applyFont="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0" fontId="4" fillId="0" borderId="33" xfId="0" applyFont="1" applyBorder="1" applyAlignment="1">
      <alignment horizontal="center" vertical="center" wrapText="1"/>
    </xf>
    <xf numFmtId="0" fontId="34" fillId="0" borderId="0" xfId="0" applyFont="1"/>
    <xf numFmtId="0" fontId="12" fillId="0" borderId="0" xfId="0" applyFont="1"/>
    <xf numFmtId="0" fontId="4" fillId="0" borderId="38" xfId="0" applyFont="1" applyBorder="1" applyAlignment="1">
      <alignment horizontal="left"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47" xfId="0" applyFont="1" applyBorder="1" applyAlignment="1">
      <alignment vertical="center" wrapText="1"/>
    </xf>
    <xf numFmtId="0" fontId="4" fillId="0" borderId="33" xfId="0" applyFont="1" applyBorder="1" applyAlignment="1">
      <alignment vertical="center" wrapText="1"/>
    </xf>
    <xf numFmtId="0" fontId="4" fillId="0" borderId="35" xfId="0" applyFont="1" applyBorder="1" applyAlignment="1">
      <alignment vertical="center" wrapText="1"/>
    </xf>
    <xf numFmtId="0" fontId="4" fillId="0" borderId="47" xfId="0" applyFont="1" applyBorder="1" applyAlignment="1">
      <alignment horizontal="center" vertical="center"/>
    </xf>
    <xf numFmtId="0" fontId="4" fillId="0" borderId="47" xfId="0" applyFont="1" applyBorder="1" applyAlignment="1">
      <alignment horizontal="center" vertical="center" wrapText="1"/>
    </xf>
    <xf numFmtId="0" fontId="8" fillId="0" borderId="18" xfId="0" applyNumberFormat="1" applyFont="1" applyBorder="1" applyAlignment="1">
      <alignment horizontal="left" vertical="center" wrapText="1"/>
    </xf>
    <xf numFmtId="0" fontId="5" fillId="0" borderId="18" xfId="0" applyFont="1" applyBorder="1" applyAlignment="1">
      <alignment horizontal="left" vertical="center"/>
    </xf>
    <xf numFmtId="0" fontId="8" fillId="25" borderId="12" xfId="0" applyNumberFormat="1" applyFont="1" applyFill="1" applyBorder="1" applyAlignment="1">
      <alignment horizontal="center" vertical="center" wrapText="1"/>
    </xf>
    <xf numFmtId="0" fontId="3" fillId="0" borderId="12" xfId="0" applyNumberFormat="1" applyFont="1" applyBorder="1" applyAlignment="1">
      <alignment horizontal="left" vertical="center"/>
    </xf>
    <xf numFmtId="0" fontId="2" fillId="0" borderId="0" xfId="0" applyFont="1" applyAlignment="1">
      <alignment vertical="center"/>
    </xf>
    <xf numFmtId="0" fontId="8" fillId="29" borderId="10" xfId="0" applyFont="1" applyFill="1" applyBorder="1" applyAlignment="1">
      <alignment wrapText="1"/>
    </xf>
    <xf numFmtId="0" fontId="3" fillId="0" borderId="0" xfId="0" applyNumberFormat="1" applyFont="1" applyFill="1" applyBorder="1" applyAlignment="1">
      <alignment horizontal="center" vertical="center" wrapText="1"/>
    </xf>
    <xf numFmtId="0" fontId="8" fillId="25" borderId="26" xfId="0" applyNumberFormat="1" applyFont="1" applyFill="1" applyBorder="1" applyAlignment="1">
      <alignment horizontal="center" vertical="center" wrapText="1"/>
    </xf>
    <xf numFmtId="0" fontId="8" fillId="25" borderId="39" xfId="0" applyNumberFormat="1" applyFont="1" applyFill="1" applyBorder="1" applyAlignment="1">
      <alignment horizontal="center" vertical="center" wrapText="1"/>
    </xf>
    <xf numFmtId="0" fontId="36" fillId="29" borderId="12" xfId="0" applyFont="1" applyFill="1" applyBorder="1" applyAlignment="1">
      <alignment horizontal="center" vertical="top" wrapText="1"/>
    </xf>
    <xf numFmtId="15" fontId="36" fillId="29" borderId="12" xfId="0" applyNumberFormat="1" applyFont="1" applyFill="1" applyBorder="1" applyAlignment="1">
      <alignment vertical="top" wrapText="1"/>
    </xf>
    <xf numFmtId="0" fontId="36" fillId="29" borderId="12" xfId="0" applyFont="1" applyFill="1" applyBorder="1" applyAlignment="1">
      <alignment vertical="top" wrapText="1"/>
    </xf>
    <xf numFmtId="0" fontId="8" fillId="0" borderId="0" xfId="0" applyFont="1" applyFill="1" applyBorder="1" applyAlignment="1">
      <alignment horizontal="center" vertical="center"/>
    </xf>
    <xf numFmtId="0" fontId="5" fillId="0" borderId="0" xfId="0" applyFont="1" applyBorder="1" applyAlignment="1">
      <alignment horizontal="left" vertical="center"/>
    </xf>
    <xf numFmtId="0" fontId="8" fillId="0" borderId="31" xfId="0" applyNumberFormat="1" applyFont="1" applyBorder="1" applyAlignment="1">
      <alignment horizontal="left" vertical="center" wrapText="1"/>
    </xf>
    <xf numFmtId="0" fontId="4" fillId="0" borderId="12" xfId="0" applyFont="1" applyBorder="1" applyAlignment="1">
      <alignment horizontal="left" vertical="center"/>
    </xf>
    <xf numFmtId="0" fontId="8" fillId="25" borderId="12" xfId="0" applyFont="1" applyFill="1" applyBorder="1" applyAlignment="1">
      <alignment horizontal="center" vertical="center" wrapText="1"/>
    </xf>
    <xf numFmtId="0" fontId="8" fillId="25" borderId="12" xfId="0" applyNumberFormat="1" applyFont="1" applyFill="1" applyBorder="1" applyAlignment="1">
      <alignment horizontal="center" vertical="center" wrapText="1"/>
    </xf>
    <xf numFmtId="0" fontId="5" fillId="0" borderId="53" xfId="0" applyFont="1" applyBorder="1" applyAlignment="1">
      <alignment horizontal="left" vertical="center"/>
    </xf>
    <xf numFmtId="0" fontId="0" fillId="0" borderId="0" xfId="0" applyBorder="1" applyAlignment="1">
      <alignment horizontal="center" vertical="center" wrapText="1"/>
    </xf>
    <xf numFmtId="0" fontId="0" fillId="0" borderId="0" xfId="0" applyBorder="1" applyAlignment="1">
      <alignment horizontal="left" vertical="center"/>
    </xf>
    <xf numFmtId="0" fontId="8" fillId="25" borderId="12" xfId="0" applyFont="1" applyFill="1" applyBorder="1" applyAlignment="1">
      <alignment horizontal="center" vertical="center"/>
    </xf>
    <xf numFmtId="0" fontId="4" fillId="0" borderId="12" xfId="0" applyFont="1" applyBorder="1" applyAlignment="1">
      <alignment vertical="center"/>
    </xf>
    <xf numFmtId="0" fontId="4" fillId="0" borderId="55" xfId="0" applyFont="1" applyBorder="1" applyAlignment="1">
      <alignment horizontal="center" vertical="center" wrapText="1"/>
    </xf>
    <xf numFmtId="0" fontId="2" fillId="0" borderId="0" xfId="0" applyFont="1"/>
    <xf numFmtId="0" fontId="7" fillId="31" borderId="0" xfId="0" applyFont="1" applyFill="1"/>
    <xf numFmtId="0" fontId="7" fillId="31" borderId="0" xfId="0" applyFont="1" applyFill="1" applyAlignment="1">
      <alignment horizontal="center"/>
    </xf>
    <xf numFmtId="0" fontId="37" fillId="31" borderId="0" xfId="0" applyFont="1" applyFill="1" applyAlignment="1">
      <alignment vertical="center"/>
    </xf>
    <xf numFmtId="0" fontId="3" fillId="31" borderId="0" xfId="0" applyFont="1" applyFill="1" applyAlignment="1"/>
    <xf numFmtId="0" fontId="4" fillId="31" borderId="0" xfId="0" applyFont="1" applyFill="1" applyAlignment="1">
      <alignment vertical="center"/>
    </xf>
    <xf numFmtId="0" fontId="8" fillId="31" borderId="12" xfId="0" applyFont="1" applyFill="1" applyBorder="1" applyAlignment="1">
      <alignment horizontal="center" vertical="center"/>
    </xf>
    <xf numFmtId="0" fontId="8" fillId="31" borderId="27" xfId="0" applyFont="1" applyFill="1" applyBorder="1" applyAlignment="1">
      <alignment horizontal="center" vertical="center"/>
    </xf>
    <xf numFmtId="0" fontId="8" fillId="31" borderId="0" xfId="0" applyFont="1" applyFill="1" applyBorder="1" applyAlignment="1">
      <alignment horizontal="center" vertical="center"/>
    </xf>
    <xf numFmtId="0" fontId="40" fillId="0" borderId="56" xfId="43" applyFill="1" applyBorder="1"/>
    <xf numFmtId="0" fontId="10" fillId="0" borderId="57" xfId="43" applyFont="1" applyFill="1" applyBorder="1"/>
    <xf numFmtId="0" fontId="40" fillId="0" borderId="58" xfId="43" applyFill="1" applyBorder="1"/>
    <xf numFmtId="0" fontId="40" fillId="0" borderId="0" xfId="43" applyFill="1"/>
    <xf numFmtId="0" fontId="40" fillId="0" borderId="28" xfId="43" applyFill="1" applyBorder="1"/>
    <xf numFmtId="0" fontId="10" fillId="0" borderId="0" xfId="43" applyFont="1" applyFill="1" applyBorder="1"/>
    <xf numFmtId="0" fontId="41" fillId="0" borderId="0" xfId="43" applyFont="1" applyFill="1" applyBorder="1"/>
    <xf numFmtId="0" fontId="42" fillId="0" borderId="0" xfId="43" applyFont="1" applyFill="1" applyBorder="1" applyAlignment="1">
      <alignment horizontal="center"/>
    </xf>
    <xf numFmtId="0" fontId="3" fillId="0" borderId="21" xfId="43" applyFont="1" applyFill="1" applyBorder="1" applyAlignment="1">
      <alignment vertical="center"/>
    </xf>
    <xf numFmtId="0" fontId="40" fillId="0" borderId="59" xfId="43" applyFill="1" applyBorder="1"/>
    <xf numFmtId="0" fontId="40" fillId="0" borderId="0" xfId="43" applyFill="1" applyBorder="1"/>
    <xf numFmtId="0" fontId="43" fillId="0" borderId="0" xfId="43" applyFont="1" applyFill="1" applyBorder="1" applyAlignment="1">
      <alignment horizontal="center"/>
    </xf>
    <xf numFmtId="0" fontId="44" fillId="0" borderId="0" xfId="43" applyFont="1" applyFill="1" applyBorder="1" applyAlignment="1">
      <alignment horizontal="center"/>
    </xf>
    <xf numFmtId="0" fontId="11" fillId="0" borderId="0" xfId="43" applyFont="1" applyFill="1" applyBorder="1" applyAlignment="1">
      <alignment horizontal="center"/>
    </xf>
    <xf numFmtId="0" fontId="7" fillId="0" borderId="22" xfId="43" applyFont="1" applyFill="1" applyBorder="1" applyAlignment="1">
      <alignment horizontal="left" vertical="center"/>
    </xf>
    <xf numFmtId="0" fontId="7" fillId="0" borderId="22" xfId="43" applyFont="1" applyFill="1" applyBorder="1" applyAlignment="1">
      <alignment horizontal="center" vertical="center"/>
    </xf>
    <xf numFmtId="0" fontId="7" fillId="0" borderId="23" xfId="43" applyFont="1" applyFill="1" applyBorder="1" applyAlignment="1">
      <alignment horizontal="center" vertical="center"/>
    </xf>
    <xf numFmtId="0" fontId="3" fillId="0" borderId="0" xfId="43" applyFont="1" applyFill="1" applyBorder="1" applyAlignment="1">
      <alignment horizontal="center" vertical="center"/>
    </xf>
    <xf numFmtId="0" fontId="5" fillId="0" borderId="12" xfId="43" applyFont="1" applyFill="1" applyBorder="1" applyAlignment="1">
      <alignment horizontal="left" vertical="top" wrapText="1"/>
    </xf>
    <xf numFmtId="0" fontId="2" fillId="0" borderId="0" xfId="43" applyFont="1" applyFill="1" applyBorder="1" applyAlignment="1">
      <alignment horizontal="center" vertical="center" wrapText="1"/>
    </xf>
    <xf numFmtId="0" fontId="3" fillId="0" borderId="47" xfId="43" applyFont="1" applyFill="1" applyBorder="1" applyAlignment="1">
      <alignment horizontal="center" vertical="center"/>
    </xf>
    <xf numFmtId="0" fontId="48" fillId="0" borderId="0" xfId="43" applyFont="1" applyFill="1"/>
    <xf numFmtId="0" fontId="3" fillId="0" borderId="33" xfId="43" applyFont="1" applyFill="1" applyBorder="1" applyAlignment="1">
      <alignment horizontal="center" vertical="center"/>
    </xf>
    <xf numFmtId="0" fontId="3" fillId="0" borderId="68" xfId="43" applyFont="1" applyFill="1" applyBorder="1" applyAlignment="1">
      <alignment horizontal="center" vertical="center"/>
    </xf>
    <xf numFmtId="0" fontId="3" fillId="0" borderId="69" xfId="43" applyFont="1" applyFill="1" applyBorder="1" applyAlignment="1">
      <alignment horizontal="center" vertical="center"/>
    </xf>
    <xf numFmtId="0" fontId="3" fillId="0" borderId="36" xfId="43" applyFont="1" applyFill="1" applyBorder="1" applyAlignment="1">
      <alignment horizontal="center" vertical="center"/>
    </xf>
    <xf numFmtId="0" fontId="3" fillId="0" borderId="35" xfId="43" applyFont="1" applyFill="1" applyBorder="1" applyAlignment="1">
      <alignment horizontal="center" vertical="center"/>
    </xf>
    <xf numFmtId="0" fontId="3" fillId="0" borderId="21" xfId="43" applyFont="1" applyFill="1" applyBorder="1" applyAlignment="1">
      <alignment horizontal="center" vertical="center" wrapText="1"/>
    </xf>
    <xf numFmtId="0" fontId="3" fillId="0" borderId="70" xfId="43" applyFont="1" applyFill="1" applyBorder="1" applyAlignment="1">
      <alignment horizontal="center" vertical="center" wrapText="1"/>
    </xf>
    <xf numFmtId="0" fontId="3" fillId="0" borderId="57" xfId="43" applyFont="1" applyFill="1" applyBorder="1" applyAlignment="1">
      <alignment horizontal="center" vertical="center" wrapText="1"/>
    </xf>
    <xf numFmtId="0" fontId="3" fillId="0" borderId="58" xfId="43" applyFont="1" applyFill="1" applyBorder="1" applyAlignment="1">
      <alignment horizontal="center" vertical="center" wrapText="1"/>
    </xf>
    <xf numFmtId="0" fontId="5" fillId="0" borderId="26" xfId="43" applyFont="1" applyFill="1" applyBorder="1" applyAlignment="1">
      <alignment horizontal="left" vertical="top"/>
    </xf>
    <xf numFmtId="0" fontId="7" fillId="0" borderId="26" xfId="43" applyFont="1" applyFill="1" applyBorder="1" applyAlignment="1">
      <alignment horizontal="center" vertical="top" wrapText="1"/>
    </xf>
    <xf numFmtId="0" fontId="7" fillId="0" borderId="48" xfId="43" applyFont="1" applyFill="1" applyBorder="1" applyAlignment="1">
      <alignment horizontal="center" vertical="top" wrapText="1"/>
    </xf>
    <xf numFmtId="0" fontId="7" fillId="0" borderId="45" xfId="43" applyFont="1" applyFill="1" applyBorder="1" applyAlignment="1">
      <alignment horizontal="center" vertical="top" wrapText="1"/>
    </xf>
    <xf numFmtId="0" fontId="7" fillId="0" borderId="16" xfId="43" applyFont="1" applyFill="1" applyBorder="1" applyAlignment="1">
      <alignment horizontal="left" vertical="top" wrapText="1"/>
    </xf>
    <xf numFmtId="0" fontId="5" fillId="0" borderId="12" xfId="43" applyFont="1" applyFill="1" applyBorder="1" applyAlignment="1">
      <alignment horizontal="left" vertical="top"/>
    </xf>
    <xf numFmtId="0" fontId="7" fillId="0" borderId="12" xfId="43" applyFont="1" applyFill="1" applyBorder="1" applyAlignment="1">
      <alignment horizontal="center" vertical="top" wrapText="1"/>
    </xf>
    <xf numFmtId="0" fontId="7" fillId="0" borderId="13" xfId="43" applyFont="1" applyFill="1" applyBorder="1" applyAlignment="1">
      <alignment horizontal="center" vertical="top" wrapText="1"/>
    </xf>
    <xf numFmtId="0" fontId="7" fillId="0" borderId="25" xfId="43" applyFont="1" applyFill="1" applyBorder="1" applyAlignment="1">
      <alignment horizontal="left" vertical="top" wrapText="1"/>
    </xf>
    <xf numFmtId="0" fontId="7" fillId="0" borderId="27" xfId="43" applyFont="1" applyFill="1" applyBorder="1" applyAlignment="1">
      <alignment horizontal="center" vertical="top" wrapText="1"/>
    </xf>
    <xf numFmtId="0" fontId="7" fillId="0" borderId="72" xfId="43" applyFont="1" applyFill="1" applyBorder="1" applyAlignment="1">
      <alignment horizontal="left" vertical="top" wrapText="1"/>
    </xf>
    <xf numFmtId="0" fontId="7" fillId="0" borderId="34" xfId="43" applyFont="1" applyFill="1" applyBorder="1" applyAlignment="1">
      <alignment horizontal="center" vertical="top" wrapText="1"/>
    </xf>
    <xf numFmtId="0" fontId="7" fillId="0" borderId="53" xfId="43" applyFont="1" applyFill="1" applyBorder="1" applyAlignment="1">
      <alignment horizontal="left" vertical="top" wrapText="1"/>
    </xf>
    <xf numFmtId="0" fontId="7" fillId="0" borderId="37" xfId="43" applyFont="1" applyFill="1" applyBorder="1" applyAlignment="1">
      <alignment vertical="top" wrapText="1"/>
    </xf>
    <xf numFmtId="0" fontId="7" fillId="0" borderId="38" xfId="43" applyFont="1" applyFill="1" applyBorder="1" applyAlignment="1">
      <alignment horizontal="center" vertical="top" wrapText="1"/>
    </xf>
    <xf numFmtId="0" fontId="7" fillId="0" borderId="53" xfId="43" applyFont="1" applyFill="1" applyBorder="1" applyAlignment="1">
      <alignment horizontal="center" vertical="top" wrapText="1"/>
    </xf>
    <xf numFmtId="0" fontId="7" fillId="0" borderId="46" xfId="43" applyFont="1" applyFill="1" applyBorder="1" applyAlignment="1">
      <alignment horizontal="center" vertical="top" wrapText="1"/>
    </xf>
    <xf numFmtId="0" fontId="7" fillId="0" borderId="37" xfId="43" applyFont="1" applyFill="1" applyBorder="1" applyAlignment="1">
      <alignment horizontal="left" vertical="top" wrapText="1"/>
    </xf>
    <xf numFmtId="0" fontId="7" fillId="0" borderId="29" xfId="43" applyFont="1" applyFill="1" applyBorder="1" applyAlignment="1">
      <alignment horizontal="center" vertical="top" wrapText="1"/>
    </xf>
    <xf numFmtId="0" fontId="7" fillId="0" borderId="73" xfId="43" applyFont="1" applyFill="1" applyBorder="1" applyAlignment="1">
      <alignment vertical="top" wrapText="1"/>
    </xf>
    <xf numFmtId="0" fontId="7" fillId="0" borderId="30" xfId="43" applyFont="1" applyFill="1" applyBorder="1" applyAlignment="1">
      <alignment horizontal="left" vertical="top" wrapText="1"/>
    </xf>
    <xf numFmtId="0" fontId="3" fillId="0" borderId="57" xfId="43" applyFont="1" applyFill="1" applyBorder="1" applyAlignment="1">
      <alignment vertical="center"/>
    </xf>
    <xf numFmtId="0" fontId="3" fillId="0" borderId="22" xfId="43" applyFont="1" applyFill="1" applyBorder="1" applyAlignment="1">
      <alignment vertical="center"/>
    </xf>
    <xf numFmtId="0" fontId="3" fillId="0" borderId="77" xfId="43" applyFont="1" applyFill="1" applyBorder="1" applyAlignment="1">
      <alignment horizontal="center" vertical="center" wrapText="1"/>
    </xf>
    <xf numFmtId="0" fontId="3" fillId="0" borderId="56" xfId="43" applyFont="1" applyFill="1" applyBorder="1" applyAlignment="1">
      <alignment vertical="center"/>
    </xf>
    <xf numFmtId="0" fontId="3" fillId="0" borderId="74" xfId="43" applyFont="1" applyFill="1" applyBorder="1" applyAlignment="1">
      <alignment vertical="center"/>
    </xf>
    <xf numFmtId="0" fontId="3" fillId="0" borderId="77" xfId="43" applyFont="1" applyFill="1" applyBorder="1" applyAlignment="1">
      <alignment horizontal="center" vertical="center"/>
    </xf>
    <xf numFmtId="0" fontId="5" fillId="0" borderId="15" xfId="43" applyFont="1" applyFill="1" applyBorder="1" applyAlignment="1">
      <alignment horizontal="left" vertical="top"/>
    </xf>
    <xf numFmtId="0" fontId="47" fillId="0" borderId="45" xfId="43" applyFont="1" applyFill="1" applyBorder="1" applyAlignment="1">
      <alignment vertical="top" wrapText="1"/>
    </xf>
    <xf numFmtId="0" fontId="5" fillId="0" borderId="10" xfId="43" applyFont="1" applyFill="1" applyBorder="1" applyAlignment="1">
      <alignment horizontal="left" vertical="top"/>
    </xf>
    <xf numFmtId="0" fontId="47" fillId="0" borderId="26" xfId="43" applyFont="1" applyFill="1" applyBorder="1" applyAlignment="1">
      <alignment horizontal="left" vertical="top" wrapText="1"/>
    </xf>
    <xf numFmtId="0" fontId="47" fillId="0" borderId="12" xfId="43" applyFont="1" applyFill="1" applyBorder="1" applyAlignment="1">
      <alignment vertical="top" wrapText="1"/>
    </xf>
    <xf numFmtId="0" fontId="47" fillId="0" borderId="12" xfId="43" applyFont="1" applyFill="1" applyBorder="1" applyAlignment="1">
      <alignment horizontal="center" vertical="top" wrapText="1"/>
    </xf>
    <xf numFmtId="0" fontId="5" fillId="0" borderId="11" xfId="43" applyFont="1" applyFill="1" applyBorder="1" applyAlignment="1">
      <alignment horizontal="left" vertical="top"/>
    </xf>
    <xf numFmtId="0" fontId="47" fillId="0" borderId="29" xfId="43" applyFont="1" applyFill="1" applyBorder="1" applyAlignment="1">
      <alignment vertical="top" wrapText="1"/>
    </xf>
    <xf numFmtId="0" fontId="5" fillId="0" borderId="0" xfId="43" applyFont="1" applyFill="1" applyBorder="1" applyAlignment="1">
      <alignment horizontal="left" vertical="top"/>
    </xf>
    <xf numFmtId="0" fontId="47" fillId="0" borderId="0" xfId="43" applyFont="1" applyFill="1" applyBorder="1" applyAlignment="1">
      <alignment horizontal="center" vertical="top" wrapText="1"/>
    </xf>
    <xf numFmtId="0" fontId="47" fillId="0" borderId="0" xfId="43" applyFont="1" applyFill="1" applyBorder="1" applyAlignment="1">
      <alignment vertical="top" wrapText="1"/>
    </xf>
    <xf numFmtId="0" fontId="47" fillId="0" borderId="0" xfId="43" applyFont="1" applyFill="1" applyBorder="1" applyAlignment="1">
      <alignment horizontal="left" vertical="top" wrapText="1"/>
    </xf>
    <xf numFmtId="0" fontId="40" fillId="0" borderId="54" xfId="43" applyFill="1" applyBorder="1"/>
    <xf numFmtId="0" fontId="10" fillId="0" borderId="52" xfId="43" applyFont="1" applyFill="1" applyBorder="1"/>
    <xf numFmtId="0" fontId="40" fillId="0" borderId="52" xfId="43" applyFill="1" applyBorder="1"/>
    <xf numFmtId="0" fontId="40" fillId="0" borderId="60" xfId="43" applyFill="1" applyBorder="1"/>
    <xf numFmtId="0" fontId="5" fillId="0" borderId="12" xfId="43" applyFont="1" applyFill="1" applyBorder="1" applyAlignment="1" applyProtection="1">
      <alignment horizontal="center" vertical="center"/>
    </xf>
    <xf numFmtId="16" fontId="7" fillId="0" borderId="12" xfId="43" quotePrefix="1" applyNumberFormat="1" applyFont="1" applyFill="1" applyBorder="1" applyAlignment="1">
      <alignment horizontal="center" vertical="top" wrapText="1"/>
    </xf>
    <xf numFmtId="0" fontId="7" fillId="0" borderId="12" xfId="43" quotePrefix="1" applyFont="1" applyFill="1" applyBorder="1" applyAlignment="1">
      <alignment horizontal="center" vertical="top" wrapText="1"/>
    </xf>
    <xf numFmtId="0" fontId="4" fillId="31" borderId="0" xfId="0" applyFont="1" applyFill="1"/>
    <xf numFmtId="0" fontId="0" fillId="29" borderId="0" xfId="0" applyFill="1" applyAlignment="1"/>
    <xf numFmtId="0" fontId="51" fillId="0" borderId="0" xfId="0" applyFont="1"/>
    <xf numFmtId="0" fontId="4" fillId="29" borderId="0" xfId="0" applyFont="1" applyFill="1"/>
    <xf numFmtId="0" fontId="51" fillId="29" borderId="0" xfId="0" applyFont="1" applyFill="1"/>
    <xf numFmtId="0" fontId="2" fillId="0" borderId="12" xfId="0" applyFont="1" applyBorder="1" applyAlignment="1">
      <alignment horizontal="left" vertical="center"/>
    </xf>
    <xf numFmtId="0" fontId="2" fillId="29" borderId="12" xfId="0" applyFont="1" applyFill="1" applyBorder="1" applyAlignment="1">
      <alignment wrapText="1"/>
    </xf>
    <xf numFmtId="14" fontId="0" fillId="29" borderId="12" xfId="0" applyNumberFormat="1" applyFill="1" applyBorder="1"/>
    <xf numFmtId="0" fontId="2" fillId="0" borderId="25" xfId="0" applyFont="1" applyBorder="1" applyAlignment="1">
      <alignment horizontal="left" vertical="top" wrapText="1"/>
    </xf>
    <xf numFmtId="0" fontId="52" fillId="0" borderId="12" xfId="44" applyFont="1" applyFill="1" applyBorder="1" applyAlignment="1">
      <alignment vertical="top" wrapText="1"/>
    </xf>
    <xf numFmtId="0" fontId="2" fillId="0" borderId="38" xfId="0" applyFont="1" applyBorder="1" applyAlignment="1">
      <alignment horizontal="left" vertical="top" wrapText="1"/>
    </xf>
    <xf numFmtId="0" fontId="2" fillId="0" borderId="37" xfId="0" applyFont="1" applyBorder="1" applyAlignment="1">
      <alignment horizontal="left" vertical="top" wrapText="1"/>
    </xf>
    <xf numFmtId="0" fontId="52" fillId="0" borderId="45" xfId="44" applyFont="1" applyFill="1" applyBorder="1" applyAlignment="1" applyProtection="1">
      <alignment horizontal="left" vertical="top" wrapText="1"/>
      <protection locked="0"/>
    </xf>
    <xf numFmtId="0" fontId="2" fillId="0" borderId="0" xfId="0" applyFont="1" applyAlignment="1">
      <alignment vertical="top" wrapText="1"/>
    </xf>
    <xf numFmtId="0" fontId="52" fillId="0" borderId="12" xfId="44" applyFont="1" applyFill="1" applyBorder="1" applyAlignment="1" applyProtection="1">
      <alignment horizontal="left" vertical="top" wrapText="1"/>
      <protection locked="0"/>
    </xf>
    <xf numFmtId="0" fontId="52" fillId="0" borderId="12" xfId="44" applyFont="1" applyFill="1" applyBorder="1" applyAlignment="1">
      <alignment horizontal="left" vertical="top" wrapText="1"/>
    </xf>
    <xf numFmtId="0" fontId="7" fillId="0" borderId="0" xfId="0" applyFont="1" applyAlignment="1">
      <alignment vertical="top"/>
    </xf>
    <xf numFmtId="0" fontId="7" fillId="31" borderId="0" xfId="0" applyFont="1" applyFill="1" applyAlignment="1">
      <alignment vertical="top"/>
    </xf>
    <xf numFmtId="0" fontId="53" fillId="0" borderId="12" xfId="44" applyFont="1" applyFill="1" applyBorder="1" applyAlignment="1" applyProtection="1">
      <alignment horizontal="left" vertical="top" wrapText="1"/>
      <protection locked="0"/>
    </xf>
    <xf numFmtId="0" fontId="53" fillId="0" borderId="12" xfId="0" applyFont="1" applyFill="1" applyBorder="1" applyAlignment="1">
      <alignment horizontal="left" vertical="top" wrapText="1"/>
    </xf>
    <xf numFmtId="0" fontId="53" fillId="0" borderId="45" xfId="44" applyFont="1" applyFill="1" applyBorder="1" applyAlignment="1" applyProtection="1">
      <alignment horizontal="left" vertical="top" wrapText="1"/>
      <protection locked="0"/>
    </xf>
    <xf numFmtId="0" fontId="7" fillId="0" borderId="0" xfId="0" applyFont="1" applyAlignment="1">
      <alignment vertical="top" wrapText="1"/>
    </xf>
    <xf numFmtId="0" fontId="7" fillId="0" borderId="0" xfId="0" applyFont="1" applyAlignment="1">
      <alignment horizontal="center" vertical="top"/>
    </xf>
    <xf numFmtId="0" fontId="4" fillId="0" borderId="0" xfId="0" applyFont="1" applyAlignment="1">
      <alignment vertical="top" wrapText="1"/>
    </xf>
    <xf numFmtId="0" fontId="7" fillId="31" borderId="0" xfId="0" applyFont="1" applyFill="1" applyAlignment="1">
      <alignment vertical="top" wrapText="1"/>
    </xf>
    <xf numFmtId="0" fontId="7" fillId="31" borderId="0" xfId="0" applyFont="1" applyFill="1" applyAlignment="1">
      <alignment horizontal="center" vertical="top"/>
    </xf>
    <xf numFmtId="0" fontId="54" fillId="0" borderId="13" xfId="0" applyFont="1" applyBorder="1" applyAlignment="1">
      <alignment vertical="top" wrapText="1"/>
    </xf>
    <xf numFmtId="0" fontId="54" fillId="0" borderId="12" xfId="0" applyFont="1" applyBorder="1" applyAlignment="1">
      <alignment vertical="top" wrapText="1"/>
    </xf>
    <xf numFmtId="0" fontId="54" fillId="0" borderId="12" xfId="0" applyFont="1" applyBorder="1" applyAlignment="1">
      <alignment horizontal="center" vertical="top" wrapText="1"/>
    </xf>
    <xf numFmtId="0" fontId="58" fillId="24" borderId="0" xfId="0" applyFont="1" applyFill="1" applyBorder="1" applyAlignment="1">
      <alignment horizontal="center" wrapText="1"/>
    </xf>
    <xf numFmtId="0" fontId="58" fillId="24" borderId="28" xfId="0" applyFont="1" applyFill="1" applyBorder="1" applyAlignment="1">
      <alignment horizontal="center"/>
    </xf>
    <xf numFmtId="0" fontId="58" fillId="27" borderId="37" xfId="0" applyFont="1" applyFill="1" applyBorder="1" applyAlignment="1">
      <alignment horizontal="center" textRotation="90" wrapText="1"/>
    </xf>
    <xf numFmtId="0" fontId="58" fillId="27" borderId="27" xfId="0" applyFont="1" applyFill="1" applyBorder="1" applyAlignment="1">
      <alignment horizontal="center" textRotation="90" wrapText="1"/>
    </xf>
    <xf numFmtId="0" fontId="52" fillId="0" borderId="12" xfId="0" applyFont="1" applyBorder="1" applyAlignment="1">
      <alignment horizontal="left" vertical="top" wrapText="1"/>
    </xf>
    <xf numFmtId="0" fontId="52" fillId="0" borderId="12" xfId="0" applyFont="1" applyBorder="1" applyAlignment="1">
      <alignment horizontal="center" vertical="top" wrapText="1"/>
    </xf>
    <xf numFmtId="0" fontId="61" fillId="0" borderId="12" xfId="0" applyFont="1" applyFill="1" applyBorder="1" applyAlignment="1">
      <alignment horizontal="center" vertical="top" wrapText="1"/>
    </xf>
    <xf numFmtId="0" fontId="52" fillId="0" borderId="12" xfId="0" applyFont="1" applyBorder="1" applyAlignment="1">
      <alignment vertical="top" wrapText="1"/>
    </xf>
    <xf numFmtId="0" fontId="2" fillId="0" borderId="0" xfId="0" applyFont="1" applyFill="1" applyBorder="1" applyAlignment="1">
      <alignment vertical="center"/>
    </xf>
    <xf numFmtId="0" fontId="2" fillId="0" borderId="0" xfId="0" applyFont="1" applyAlignment="1">
      <alignment vertical="top"/>
    </xf>
    <xf numFmtId="0" fontId="2" fillId="0" borderId="0" xfId="0" applyFont="1" applyAlignment="1">
      <alignment horizontal="center" vertical="top"/>
    </xf>
    <xf numFmtId="0" fontId="2" fillId="0" borderId="10" xfId="0" applyFont="1" applyBorder="1" applyAlignment="1">
      <alignment horizontal="center" vertical="center"/>
    </xf>
    <xf numFmtId="0" fontId="52" fillId="0" borderId="12" xfId="0" applyFont="1" applyBorder="1" applyAlignment="1">
      <alignment vertical="center" wrapText="1"/>
    </xf>
    <xf numFmtId="0" fontId="52" fillId="0" borderId="45" xfId="0" applyFont="1" applyFill="1" applyBorder="1" applyAlignment="1" applyProtection="1">
      <alignment horizontal="left" vertical="top" wrapText="1"/>
      <protection locked="0"/>
    </xf>
    <xf numFmtId="0" fontId="52" fillId="0" borderId="45" xfId="0" applyFont="1" applyBorder="1" applyAlignment="1">
      <alignment horizontal="left" vertical="top" wrapText="1"/>
    </xf>
    <xf numFmtId="0" fontId="52" fillId="0" borderId="45" xfId="0" applyFont="1" applyBorder="1" applyAlignment="1">
      <alignment horizontal="center" vertical="top" wrapText="1"/>
    </xf>
    <xf numFmtId="0" fontId="61" fillId="0" borderId="45" xfId="0" applyFont="1" applyFill="1" applyBorder="1" applyAlignment="1">
      <alignment horizontal="center" vertical="top" wrapText="1"/>
    </xf>
    <xf numFmtId="0" fontId="52" fillId="0" borderId="16" xfId="0" applyFont="1" applyBorder="1" applyAlignment="1">
      <alignment horizontal="center" vertical="top" wrapText="1"/>
    </xf>
    <xf numFmtId="0" fontId="52" fillId="0" borderId="12" xfId="0" applyFont="1" applyFill="1" applyBorder="1" applyAlignment="1" applyProtection="1">
      <alignment horizontal="left" vertical="top" wrapText="1"/>
      <protection locked="0"/>
    </xf>
    <xf numFmtId="0" fontId="52" fillId="0" borderId="25" xfId="0" applyFont="1" applyBorder="1" applyAlignment="1">
      <alignment horizontal="center" vertical="top" wrapText="1"/>
    </xf>
    <xf numFmtId="0" fontId="52" fillId="0" borderId="12" xfId="0" applyFont="1" applyBorder="1" applyAlignment="1">
      <alignment horizontal="left" vertical="center" wrapText="1"/>
    </xf>
    <xf numFmtId="0" fontId="52" fillId="0" borderId="12" xfId="0" applyFont="1" applyBorder="1" applyAlignment="1" applyProtection="1">
      <alignment horizontal="left" vertical="top" wrapText="1"/>
      <protection locked="0"/>
    </xf>
    <xf numFmtId="0" fontId="52" fillId="0" borderId="12" xfId="0" applyFont="1" applyFill="1" applyBorder="1" applyAlignment="1" applyProtection="1">
      <alignment vertical="top" wrapText="1"/>
      <protection locked="0"/>
    </xf>
    <xf numFmtId="0" fontId="62" fillId="0" borderId="13" xfId="0" applyFont="1" applyBorder="1" applyAlignment="1">
      <alignment horizontal="center" vertical="center" textRotation="90" wrapText="1"/>
    </xf>
    <xf numFmtId="0" fontId="53" fillId="0" borderId="15" xfId="0" applyFont="1" applyBorder="1" applyAlignment="1">
      <alignment horizontal="center" vertical="center" textRotation="90" wrapText="1"/>
    </xf>
    <xf numFmtId="0" fontId="53" fillId="0" borderId="10" xfId="0" applyFont="1" applyBorder="1" applyAlignment="1">
      <alignment horizontal="center" vertical="center" textRotation="90" wrapText="1"/>
    </xf>
    <xf numFmtId="0" fontId="8" fillId="0" borderId="0" xfId="0" applyFont="1" applyAlignment="1">
      <alignment horizontal="center" vertical="center" textRotation="90"/>
    </xf>
    <xf numFmtId="0" fontId="8" fillId="31" borderId="0" xfId="0" applyFont="1" applyFill="1" applyAlignment="1">
      <alignment horizontal="center" vertical="center" textRotation="90"/>
    </xf>
    <xf numFmtId="0" fontId="52" fillId="0" borderId="12" xfId="0" applyFont="1" applyFill="1" applyBorder="1" applyAlignment="1">
      <alignment horizontal="left" vertical="center" wrapText="1"/>
    </xf>
    <xf numFmtId="0" fontId="52" fillId="0" borderId="12" xfId="0" applyFont="1" applyFill="1" applyBorder="1" applyAlignment="1">
      <alignment horizontal="center" vertical="center" wrapText="1"/>
    </xf>
    <xf numFmtId="0" fontId="52" fillId="0" borderId="12" xfId="0" applyFont="1" applyFill="1" applyBorder="1" applyAlignment="1">
      <alignment vertical="center" wrapText="1"/>
    </xf>
    <xf numFmtId="0" fontId="52" fillId="0" borderId="25" xfId="0" applyFont="1" applyFill="1" applyBorder="1" applyAlignment="1">
      <alignment horizontal="center" vertical="center" wrapText="1"/>
    </xf>
    <xf numFmtId="0" fontId="52" fillId="0" borderId="12" xfId="0" applyFont="1" applyBorder="1" applyAlignment="1">
      <alignment horizontal="center" vertical="center" wrapText="1"/>
    </xf>
    <xf numFmtId="0" fontId="52" fillId="0" borderId="29" xfId="0" applyFont="1" applyFill="1" applyBorder="1" applyAlignment="1" applyProtection="1">
      <alignment horizontal="left" vertical="center" wrapText="1"/>
      <protection locked="0"/>
    </xf>
    <xf numFmtId="0" fontId="52" fillId="0" borderId="29" xfId="0" applyFont="1" applyFill="1" applyBorder="1" applyAlignment="1">
      <alignment vertical="center" wrapText="1"/>
    </xf>
    <xf numFmtId="0" fontId="52" fillId="0" borderId="73" xfId="0" applyFont="1" applyFill="1" applyBorder="1" applyAlignment="1">
      <alignment horizontal="center" vertical="center" wrapText="1"/>
    </xf>
    <xf numFmtId="0" fontId="52" fillId="0" borderId="26" xfId="0" applyFont="1" applyFill="1" applyBorder="1" applyAlignment="1">
      <alignment horizontal="left" vertical="center" wrapText="1"/>
    </xf>
    <xf numFmtId="0" fontId="52" fillId="0" borderId="26" xfId="0" applyFont="1" applyFill="1" applyBorder="1" applyAlignment="1">
      <alignment horizontal="center" vertical="center" wrapText="1"/>
    </xf>
    <xf numFmtId="0" fontId="61" fillId="0" borderId="39" xfId="0" applyFont="1" applyFill="1" applyBorder="1" applyAlignment="1">
      <alignment horizontal="center" vertical="center" wrapText="1"/>
    </xf>
    <xf numFmtId="0" fontId="52" fillId="0" borderId="40" xfId="0" applyFont="1" applyFill="1" applyBorder="1" applyAlignment="1">
      <alignment horizontal="center" vertical="center" wrapText="1"/>
    </xf>
    <xf numFmtId="0" fontId="53" fillId="28" borderId="44" xfId="0" applyFont="1" applyFill="1" applyBorder="1" applyAlignment="1">
      <alignment vertical="center" textRotation="90" wrapText="1"/>
    </xf>
    <xf numFmtId="0" fontId="56" fillId="28" borderId="75" xfId="0" applyFont="1" applyFill="1" applyBorder="1" applyAlignment="1">
      <alignment wrapText="1"/>
    </xf>
    <xf numFmtId="0" fontId="56" fillId="28" borderId="80" xfId="0" applyFont="1" applyFill="1" applyBorder="1" applyAlignment="1">
      <alignment wrapText="1"/>
    </xf>
    <xf numFmtId="0" fontId="58" fillId="24" borderId="79" xfId="0" applyFont="1" applyFill="1" applyBorder="1" applyAlignment="1">
      <alignment wrapText="1"/>
    </xf>
    <xf numFmtId="0" fontId="58" fillId="24" borderId="20" xfId="0" applyFont="1" applyFill="1" applyBorder="1" applyAlignment="1">
      <alignment wrapText="1"/>
    </xf>
    <xf numFmtId="0" fontId="58" fillId="24" borderId="23" xfId="0" applyFont="1" applyFill="1" applyBorder="1" applyAlignment="1">
      <alignment wrapText="1"/>
    </xf>
    <xf numFmtId="0" fontId="58" fillId="27" borderId="41" xfId="0" applyFont="1" applyFill="1" applyBorder="1" applyAlignment="1">
      <alignment wrapText="1"/>
    </xf>
    <xf numFmtId="0" fontId="58" fillId="27" borderId="42" xfId="0" applyFont="1" applyFill="1" applyBorder="1" applyAlignment="1">
      <alignment wrapText="1"/>
    </xf>
    <xf numFmtId="0" fontId="58" fillId="27" borderId="43" xfId="0" applyFont="1" applyFill="1" applyBorder="1" applyAlignment="1">
      <alignment wrapText="1"/>
    </xf>
    <xf numFmtId="0" fontId="58" fillId="24" borderId="44" xfId="0" applyFont="1" applyFill="1" applyBorder="1" applyAlignment="1">
      <alignment wrapText="1"/>
    </xf>
    <xf numFmtId="0" fontId="58" fillId="24" borderId="75" xfId="0" applyFont="1" applyFill="1" applyBorder="1" applyAlignment="1">
      <alignment wrapText="1"/>
    </xf>
    <xf numFmtId="0" fontId="53" fillId="0" borderId="0" xfId="0" applyFont="1" applyAlignment="1">
      <alignment horizontal="center" vertical="center" textRotation="90" wrapText="1"/>
    </xf>
    <xf numFmtId="0" fontId="8" fillId="0" borderId="10" xfId="0" applyFont="1" applyBorder="1" applyAlignment="1">
      <alignment horizontal="center" vertical="center" textRotation="90"/>
    </xf>
    <xf numFmtId="0" fontId="53" fillId="0" borderId="26" xfId="0" applyFont="1" applyFill="1" applyBorder="1" applyAlignment="1">
      <alignment horizontal="left" vertical="top" wrapText="1"/>
    </xf>
    <xf numFmtId="0" fontId="53" fillId="0" borderId="0" xfId="0" applyFont="1" applyFill="1" applyAlignment="1">
      <alignment horizontal="left" vertical="top" wrapText="1"/>
    </xf>
    <xf numFmtId="0" fontId="2" fillId="0" borderId="12" xfId="0" applyFont="1" applyBorder="1" applyAlignment="1">
      <alignment vertical="top"/>
    </xf>
    <xf numFmtId="0" fontId="52" fillId="0" borderId="26" xfId="0" applyFont="1" applyFill="1" applyBorder="1" applyAlignment="1" applyProtection="1">
      <alignment horizontal="left" vertical="center" wrapText="1"/>
      <protection locked="0"/>
    </xf>
    <xf numFmtId="0" fontId="52" fillId="0" borderId="26" xfId="0" applyFont="1" applyBorder="1" applyAlignment="1">
      <alignment horizontal="left" vertical="top" wrapText="1"/>
    </xf>
    <xf numFmtId="0" fontId="52" fillId="0" borderId="45" xfId="0" applyFont="1" applyBorder="1" applyAlignment="1">
      <alignment vertical="top" wrapText="1"/>
    </xf>
    <xf numFmtId="0" fontId="52" fillId="0" borderId="26" xfId="44" applyFont="1" applyFill="1" applyBorder="1" applyAlignment="1" applyProtection="1">
      <alignment horizontal="left" vertical="center" wrapText="1"/>
      <protection locked="0"/>
    </xf>
    <xf numFmtId="0" fontId="52" fillId="0" borderId="0" xfId="0" applyFont="1" applyFill="1" applyAlignment="1">
      <alignment horizontal="left" vertical="center" wrapText="1"/>
    </xf>
    <xf numFmtId="0" fontId="52" fillId="0" borderId="0" xfId="0" applyFont="1" applyAlignment="1">
      <alignment horizontal="center" vertical="top" wrapText="1"/>
    </xf>
    <xf numFmtId="0" fontId="2" fillId="0" borderId="12" xfId="0" applyFont="1" applyBorder="1" applyAlignment="1">
      <alignment horizontal="center" vertical="top"/>
    </xf>
    <xf numFmtId="0" fontId="61" fillId="0" borderId="14" xfId="0" applyFont="1" applyFill="1" applyBorder="1" applyAlignment="1">
      <alignment horizontal="center" vertical="top" wrapText="1"/>
    </xf>
    <xf numFmtId="0" fontId="61" fillId="0" borderId="12" xfId="0" applyFont="1" applyFill="1" applyBorder="1" applyAlignment="1">
      <alignment horizontal="center" vertical="center" wrapText="1"/>
    </xf>
    <xf numFmtId="0" fontId="61" fillId="0" borderId="67" xfId="0" applyFont="1" applyFill="1" applyBorder="1" applyAlignment="1">
      <alignment horizontal="center" vertical="top" wrapText="1"/>
    </xf>
    <xf numFmtId="0" fontId="52" fillId="0" borderId="12" xfId="0" applyFont="1" applyFill="1" applyBorder="1" applyAlignment="1">
      <alignment vertical="top" wrapText="1"/>
    </xf>
    <xf numFmtId="0" fontId="52" fillId="0" borderId="0" xfId="0" applyFont="1" applyAlignment="1">
      <alignment vertical="top" wrapText="1"/>
    </xf>
    <xf numFmtId="0" fontId="52" fillId="0" borderId="0" xfId="0" applyFont="1" applyFill="1" applyAlignment="1">
      <alignment vertical="center" wrapText="1"/>
    </xf>
    <xf numFmtId="0" fontId="52" fillId="0" borderId="13" xfId="0" applyFont="1" applyBorder="1" applyAlignment="1">
      <alignment horizontal="center" vertical="top" wrapText="1"/>
    </xf>
    <xf numFmtId="0" fontId="52" fillId="0" borderId="0" xfId="0" applyFont="1" applyFill="1" applyAlignment="1">
      <alignment horizontal="center" vertical="center" wrapText="1"/>
    </xf>
    <xf numFmtId="0" fontId="52" fillId="0" borderId="48" xfId="0" applyFont="1" applyBorder="1" applyAlignment="1">
      <alignment horizontal="center" vertical="top" wrapText="1"/>
    </xf>
    <xf numFmtId="0" fontId="2" fillId="0" borderId="25" xfId="0" applyFont="1" applyBorder="1" applyAlignment="1">
      <alignment vertical="top"/>
    </xf>
    <xf numFmtId="0" fontId="8" fillId="0" borderId="12" xfId="0" applyFont="1" applyBorder="1" applyAlignment="1">
      <alignment vertical="top"/>
    </xf>
    <xf numFmtId="0" fontId="53" fillId="0" borderId="12" xfId="0" applyFont="1" applyFill="1" applyBorder="1" applyAlignment="1">
      <alignment horizontal="left" vertical="center" wrapText="1"/>
    </xf>
    <xf numFmtId="0" fontId="53" fillId="0" borderId="26" xfId="0" applyFont="1" applyFill="1" applyBorder="1" applyAlignment="1">
      <alignment horizontal="left" vertical="center" wrapText="1"/>
    </xf>
    <xf numFmtId="0" fontId="8" fillId="0" borderId="0" xfId="0" applyFont="1" applyAlignment="1">
      <alignment vertical="top"/>
    </xf>
    <xf numFmtId="0" fontId="3" fillId="0" borderId="0" xfId="0" applyFont="1" applyAlignment="1">
      <alignment vertical="top"/>
    </xf>
    <xf numFmtId="0" fontId="3" fillId="31" borderId="0" xfId="0" applyFont="1" applyFill="1" applyAlignment="1">
      <alignment vertical="top"/>
    </xf>
    <xf numFmtId="0" fontId="53" fillId="37" borderId="10" xfId="0" applyFont="1" applyFill="1" applyBorder="1" applyAlignment="1">
      <alignment horizontal="center" vertical="center" textRotation="90" wrapText="1"/>
    </xf>
    <xf numFmtId="0" fontId="52" fillId="38" borderId="45" xfId="44" applyFont="1" applyFill="1" applyBorder="1" applyAlignment="1">
      <alignment horizontal="left" vertical="top" wrapText="1"/>
    </xf>
    <xf numFmtId="0" fontId="52" fillId="38" borderId="12" xfId="44" applyFont="1" applyFill="1" applyBorder="1" applyAlignment="1">
      <alignment horizontal="left" vertical="top" wrapText="1"/>
    </xf>
    <xf numFmtId="0" fontId="52" fillId="38" borderId="12" xfId="44" applyFont="1" applyFill="1" applyBorder="1" applyAlignment="1" applyProtection="1">
      <alignment horizontal="left" vertical="top" wrapText="1"/>
      <protection locked="0"/>
    </xf>
    <xf numFmtId="0" fontId="52" fillId="38" borderId="12" xfId="44" applyFont="1" applyFill="1" applyBorder="1" applyAlignment="1">
      <alignment vertical="top" wrapText="1"/>
    </xf>
    <xf numFmtId="0" fontId="52" fillId="38" borderId="12" xfId="0" applyFont="1" applyFill="1" applyBorder="1" applyAlignment="1">
      <alignment horizontal="left" vertical="center" wrapText="1"/>
    </xf>
    <xf numFmtId="0" fontId="52" fillId="38" borderId="12" xfId="0" applyFont="1" applyFill="1" applyBorder="1" applyAlignment="1" applyProtection="1">
      <alignment horizontal="left" vertical="center" wrapText="1"/>
      <protection locked="0"/>
    </xf>
    <xf numFmtId="0" fontId="52" fillId="38" borderId="12" xfId="44" applyFont="1" applyFill="1" applyBorder="1" applyAlignment="1" applyProtection="1">
      <alignment horizontal="left" vertical="center" wrapText="1"/>
      <protection locked="0"/>
    </xf>
    <xf numFmtId="0" fontId="2" fillId="38" borderId="12" xfId="0" applyFont="1" applyFill="1" applyBorder="1" applyAlignment="1">
      <alignment vertical="top" wrapText="1"/>
    </xf>
    <xf numFmtId="0" fontId="53" fillId="38" borderId="12" xfId="44" applyFont="1" applyFill="1" applyBorder="1" applyAlignment="1" applyProtection="1">
      <alignment horizontal="left" vertical="top" wrapText="1"/>
      <protection locked="0"/>
    </xf>
    <xf numFmtId="0" fontId="52" fillId="38" borderId="29" xfId="0" applyFont="1" applyFill="1" applyBorder="1" applyAlignment="1">
      <alignment horizontal="left" vertical="center" wrapText="1"/>
    </xf>
    <xf numFmtId="0" fontId="52" fillId="38" borderId="0" xfId="0" applyFont="1" applyFill="1" applyAlignment="1">
      <alignment horizontal="left" vertical="center" wrapText="1"/>
    </xf>
    <xf numFmtId="0" fontId="52" fillId="38" borderId="26" xfId="0" applyFont="1" applyFill="1" applyBorder="1" applyAlignment="1">
      <alignment horizontal="left" vertical="center" wrapText="1"/>
    </xf>
    <xf numFmtId="0" fontId="52" fillId="38" borderId="26" xfId="44" applyFont="1" applyFill="1" applyBorder="1" applyAlignment="1">
      <alignment horizontal="left" vertical="top" wrapText="1"/>
    </xf>
    <xf numFmtId="0" fontId="0" fillId="0" borderId="12" xfId="0" applyBorder="1" applyAlignment="1">
      <alignment wrapText="1"/>
    </xf>
    <xf numFmtId="0" fontId="0" fillId="0" borderId="12" xfId="0" applyBorder="1" applyAlignment="1">
      <alignment vertical="center" wrapText="1"/>
    </xf>
    <xf numFmtId="0" fontId="2" fillId="0" borderId="12" xfId="0" applyFont="1" applyBorder="1" applyAlignment="1">
      <alignment vertical="center" wrapText="1"/>
    </xf>
    <xf numFmtId="0" fontId="2" fillId="0" borderId="12" xfId="0" applyFont="1" applyBorder="1" applyAlignment="1">
      <alignment vertical="top" wrapText="1"/>
    </xf>
    <xf numFmtId="0" fontId="2" fillId="0" borderId="12" xfId="0" applyFont="1" applyBorder="1" applyAlignment="1">
      <alignment horizontal="center"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2" xfId="0" applyFill="1" applyBorder="1" applyAlignment="1">
      <alignment wrapText="1"/>
    </xf>
    <xf numFmtId="0" fontId="2" fillId="0" borderId="12" xfId="0" applyFont="1" applyBorder="1" applyAlignment="1">
      <alignment wrapText="1"/>
    </xf>
    <xf numFmtId="0" fontId="0" fillId="0" borderId="12" xfId="0" applyBorder="1"/>
    <xf numFmtId="0" fontId="8" fillId="0" borderId="12" xfId="0" applyFont="1" applyBorder="1" applyAlignment="1">
      <alignment vertical="center" wrapText="1"/>
    </xf>
    <xf numFmtId="0" fontId="8" fillId="0" borderId="12" xfId="0" applyFont="1" applyBorder="1" applyAlignment="1">
      <alignment horizontal="center" vertical="center" wrapText="1"/>
    </xf>
    <xf numFmtId="0" fontId="8" fillId="0" borderId="12" xfId="0" applyFont="1" applyBorder="1" applyAlignment="1">
      <alignment horizontal="center" vertical="center"/>
    </xf>
    <xf numFmtId="0" fontId="53" fillId="0" borderId="12" xfId="44" applyFont="1" applyFill="1" applyBorder="1" applyAlignment="1" applyProtection="1">
      <alignment horizontal="left" vertical="center" wrapText="1"/>
      <protection locked="0"/>
    </xf>
    <xf numFmtId="0" fontId="52" fillId="0" borderId="12" xfId="0" applyFont="1" applyFill="1" applyBorder="1" applyAlignment="1">
      <alignment horizontal="left" vertical="top" wrapText="1"/>
    </xf>
    <xf numFmtId="0" fontId="36" fillId="29" borderId="12" xfId="0" applyFont="1" applyFill="1" applyBorder="1" applyAlignment="1">
      <alignment vertical="top" wrapText="1"/>
    </xf>
    <xf numFmtId="0" fontId="0" fillId="0" borderId="12" xfId="0" applyBorder="1" applyAlignment="1">
      <alignment wrapText="1"/>
    </xf>
    <xf numFmtId="0" fontId="8" fillId="25" borderId="12" xfId="0" applyNumberFormat="1" applyFont="1" applyFill="1" applyBorder="1" applyAlignment="1">
      <alignment horizontal="center" vertical="center" wrapText="1"/>
    </xf>
    <xf numFmtId="0" fontId="0" fillId="0" borderId="12" xfId="0" applyBorder="1" applyAlignment="1">
      <alignment vertical="center" wrapText="1"/>
    </xf>
    <xf numFmtId="0" fontId="35" fillId="30" borderId="12" xfId="0" applyFont="1" applyFill="1" applyBorder="1" applyAlignment="1">
      <alignment horizontal="center" vertical="center" wrapText="1"/>
    </xf>
    <xf numFmtId="0" fontId="0" fillId="30" borderId="12" xfId="0" applyFill="1" applyBorder="1" applyAlignment="1">
      <alignment vertical="center" wrapText="1"/>
    </xf>
    <xf numFmtId="0" fontId="6" fillId="30" borderId="14" xfId="0" applyFont="1" applyFill="1" applyBorder="1" applyAlignment="1">
      <alignment horizontal="center" vertical="center" wrapText="1"/>
    </xf>
    <xf numFmtId="0" fontId="0" fillId="30" borderId="18" xfId="0" applyFill="1" applyBorder="1" applyAlignment="1">
      <alignment horizontal="center" vertical="center" wrapText="1"/>
    </xf>
    <xf numFmtId="0" fontId="0" fillId="30" borderId="13" xfId="0" applyFill="1" applyBorder="1" applyAlignment="1">
      <alignment horizontal="center" vertical="center" wrapText="1"/>
    </xf>
    <xf numFmtId="0" fontId="8" fillId="25" borderId="14" xfId="0" applyNumberFormat="1" applyFont="1" applyFill="1"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2" fillId="29" borderId="14" xfId="0" applyFont="1" applyFill="1" applyBorder="1" applyAlignment="1">
      <alignment wrapText="1"/>
    </xf>
    <xf numFmtId="0" fontId="2" fillId="29" borderId="18" xfId="0" applyFont="1" applyFill="1" applyBorder="1" applyAlignment="1">
      <alignment wrapText="1"/>
    </xf>
    <xf numFmtId="0" fontId="2" fillId="29" borderId="13" xfId="0" applyFont="1" applyFill="1" applyBorder="1" applyAlignment="1">
      <alignment wrapText="1"/>
    </xf>
    <xf numFmtId="0" fontId="4" fillId="0" borderId="14" xfId="0" applyFont="1" applyBorder="1" applyAlignment="1">
      <alignment horizontal="left" vertical="center"/>
    </xf>
    <xf numFmtId="0" fontId="0" fillId="0" borderId="13" xfId="0" applyBorder="1" applyAlignment="1">
      <alignment horizontal="left" vertical="center"/>
    </xf>
    <xf numFmtId="0" fontId="2" fillId="0" borderId="14" xfId="0" applyFont="1" applyBorder="1" applyAlignment="1">
      <alignment horizontal="left" vertical="center"/>
    </xf>
    <xf numFmtId="0" fontId="5" fillId="37" borderId="12" xfId="0" applyFont="1" applyFill="1" applyBorder="1" applyAlignment="1">
      <alignment horizontal="left" vertical="center"/>
    </xf>
    <xf numFmtId="0" fontId="5" fillId="37" borderId="25" xfId="0" applyFont="1" applyFill="1" applyBorder="1" applyAlignment="1">
      <alignment horizontal="left" vertical="center"/>
    </xf>
    <xf numFmtId="0" fontId="8" fillId="25" borderId="14" xfId="0" applyFont="1" applyFill="1" applyBorder="1" applyAlignment="1">
      <alignment horizontal="center" vertical="center" wrapText="1"/>
    </xf>
    <xf numFmtId="0" fontId="3" fillId="26" borderId="14" xfId="0" applyNumberFormat="1" applyFont="1" applyFill="1" applyBorder="1" applyAlignment="1">
      <alignment horizontal="center" vertical="center" wrapText="1"/>
    </xf>
    <xf numFmtId="0" fontId="31" fillId="0" borderId="41" xfId="0" applyNumberFormat="1" applyFont="1" applyBorder="1" applyAlignment="1">
      <alignment horizontal="center" vertical="top" wrapText="1"/>
    </xf>
    <xf numFmtId="0" fontId="32" fillId="0" borderId="42" xfId="0" applyFont="1" applyBorder="1" applyAlignment="1">
      <alignment vertical="top"/>
    </xf>
    <xf numFmtId="0" fontId="32" fillId="0" borderId="43" xfId="0" applyFont="1" applyBorder="1" applyAlignment="1">
      <alignment vertical="top"/>
    </xf>
    <xf numFmtId="0" fontId="8" fillId="0" borderId="17" xfId="0" applyNumberFormat="1" applyFont="1" applyBorder="1" applyAlignment="1">
      <alignment horizontal="left" vertical="center" wrapText="1"/>
    </xf>
    <xf numFmtId="0" fontId="8" fillId="0" borderId="18" xfId="0" applyNumberFormat="1" applyFont="1" applyBorder="1" applyAlignment="1">
      <alignment horizontal="left" vertical="center" wrapText="1"/>
    </xf>
    <xf numFmtId="0" fontId="8" fillId="0" borderId="13" xfId="0" applyNumberFormat="1" applyFont="1" applyBorder="1" applyAlignment="1">
      <alignment horizontal="left" vertical="center" wrapText="1"/>
    </xf>
    <xf numFmtId="15" fontId="5" fillId="37" borderId="12" xfId="0" applyNumberFormat="1" applyFont="1" applyFill="1" applyBorder="1" applyAlignment="1">
      <alignment horizontal="left" vertical="center"/>
    </xf>
    <xf numFmtId="0" fontId="5" fillId="37" borderId="14" xfId="0" applyFont="1" applyFill="1" applyBorder="1" applyAlignment="1">
      <alignment horizontal="left" vertical="center"/>
    </xf>
    <xf numFmtId="0" fontId="5" fillId="37" borderId="18" xfId="0" applyFont="1" applyFill="1" applyBorder="1" applyAlignment="1">
      <alignment horizontal="left" vertical="center"/>
    </xf>
    <xf numFmtId="0" fontId="5" fillId="37" borderId="34" xfId="0" applyFont="1" applyFill="1" applyBorder="1" applyAlignment="1">
      <alignment horizontal="left" vertical="center"/>
    </xf>
    <xf numFmtId="0" fontId="5" fillId="0" borderId="12" xfId="0" applyFont="1" applyBorder="1" applyAlignment="1">
      <alignment horizontal="left" vertical="center"/>
    </xf>
    <xf numFmtId="0" fontId="5" fillId="0" borderId="25" xfId="0" applyFont="1" applyBorder="1" applyAlignment="1">
      <alignment horizontal="left" vertical="center"/>
    </xf>
    <xf numFmtId="0" fontId="8" fillId="26" borderId="14" xfId="0" applyFont="1" applyFill="1" applyBorder="1" applyAlignment="1">
      <alignment horizontal="center" vertical="center" wrapText="1"/>
    </xf>
    <xf numFmtId="0" fontId="8" fillId="26" borderId="18" xfId="0" applyFont="1" applyFill="1" applyBorder="1" applyAlignment="1">
      <alignment horizontal="center" vertical="center"/>
    </xf>
    <xf numFmtId="0" fontId="8" fillId="26" borderId="13" xfId="0" applyFont="1" applyFill="1" applyBorder="1" applyAlignment="1">
      <alignment horizontal="center" vertical="center"/>
    </xf>
    <xf numFmtId="0" fontId="56" fillId="36" borderId="20" xfId="0" applyFont="1" applyFill="1" applyBorder="1" applyAlignment="1">
      <alignment horizontal="left" vertical="center" wrapText="1"/>
    </xf>
    <xf numFmtId="0" fontId="56" fillId="36" borderId="22" xfId="0" applyFont="1" applyFill="1" applyBorder="1" applyAlignment="1">
      <alignment horizontal="left" vertical="center" wrapText="1"/>
    </xf>
    <xf numFmtId="0" fontId="56" fillId="36" borderId="23" xfId="0" applyFont="1" applyFill="1" applyBorder="1" applyAlignment="1">
      <alignment horizontal="left" vertical="center" wrapText="1"/>
    </xf>
    <xf numFmtId="0" fontId="55" fillId="26" borderId="54" xfId="0" applyFont="1" applyFill="1" applyBorder="1" applyAlignment="1">
      <alignment horizontal="center" vertical="center"/>
    </xf>
    <xf numFmtId="0" fontId="55" fillId="26" borderId="52" xfId="0" applyFont="1" applyFill="1" applyBorder="1" applyAlignment="1">
      <alignment horizontal="center" vertical="center"/>
    </xf>
    <xf numFmtId="0" fontId="55" fillId="26" borderId="0" xfId="0" applyFont="1" applyFill="1" applyBorder="1" applyAlignment="1">
      <alignment horizontal="center" vertical="center"/>
    </xf>
    <xf numFmtId="0" fontId="58" fillId="24" borderId="49" xfId="0" applyFont="1" applyFill="1" applyBorder="1" applyAlignment="1">
      <alignment horizontal="center" wrapText="1"/>
    </xf>
    <xf numFmtId="0" fontId="52" fillId="0" borderId="50" xfId="0" applyFont="1" applyBorder="1" applyAlignment="1">
      <alignment horizontal="center" wrapText="1"/>
    </xf>
    <xf numFmtId="0" fontId="58" fillId="24" borderId="47" xfId="0" applyFont="1" applyFill="1" applyBorder="1" applyAlignment="1">
      <alignment horizontal="center" wrapText="1"/>
    </xf>
    <xf numFmtId="0" fontId="58" fillId="24" borderId="78" xfId="0" applyFont="1" applyFill="1" applyBorder="1" applyAlignment="1">
      <alignment horizontal="center" wrapText="1"/>
    </xf>
    <xf numFmtId="0" fontId="53" fillId="28" borderId="15" xfId="0" applyFont="1" applyFill="1" applyBorder="1" applyAlignment="1">
      <alignment horizontal="center" vertical="center" textRotation="90" wrapText="1"/>
    </xf>
    <xf numFmtId="0" fontId="53" fillId="28" borderId="11" xfId="0" applyFont="1" applyFill="1" applyBorder="1" applyAlignment="1">
      <alignment horizontal="center" vertical="center" textRotation="90" wrapText="1"/>
    </xf>
    <xf numFmtId="0" fontId="56" fillId="28" borderId="45" xfId="0" applyFont="1" applyFill="1" applyBorder="1" applyAlignment="1">
      <alignment horizontal="center" wrapText="1"/>
    </xf>
    <xf numFmtId="0" fontId="56" fillId="28" borderId="29" xfId="0" applyFont="1" applyFill="1" applyBorder="1" applyAlignment="1">
      <alignment horizontal="center" wrapText="1"/>
    </xf>
    <xf numFmtId="0" fontId="58" fillId="27" borderId="48" xfId="0" applyFont="1" applyFill="1" applyBorder="1" applyAlignment="1">
      <alignment horizontal="center" wrapText="1"/>
    </xf>
    <xf numFmtId="0" fontId="58" fillId="27" borderId="45" xfId="0" applyFont="1" applyFill="1" applyBorder="1" applyAlignment="1">
      <alignment horizontal="center" wrapText="1"/>
    </xf>
    <xf numFmtId="0" fontId="58" fillId="24" borderId="44" xfId="0" applyFont="1" applyFill="1" applyBorder="1" applyAlignment="1">
      <alignment horizontal="center" wrapText="1"/>
    </xf>
    <xf numFmtId="0" fontId="58" fillId="24" borderId="51" xfId="0" applyFont="1" applyFill="1" applyBorder="1" applyAlignment="1">
      <alignment horizontal="center" wrapText="1"/>
    </xf>
    <xf numFmtId="0" fontId="58" fillId="24" borderId="15" xfId="0" applyFont="1" applyFill="1" applyBorder="1" applyAlignment="1">
      <alignment horizontal="center" wrapText="1"/>
    </xf>
    <xf numFmtId="0" fontId="58" fillId="24" borderId="24" xfId="0" applyFont="1" applyFill="1" applyBorder="1" applyAlignment="1">
      <alignment horizontal="center" wrapText="1"/>
    </xf>
    <xf numFmtId="0" fontId="58" fillId="24" borderId="45" xfId="0" applyFont="1" applyFill="1" applyBorder="1" applyAlignment="1">
      <alignment horizontal="center" wrapText="1"/>
    </xf>
    <xf numFmtId="0" fontId="58" fillId="24" borderId="27" xfId="0" applyFont="1" applyFill="1" applyBorder="1" applyAlignment="1">
      <alignment horizontal="center" wrapText="1"/>
    </xf>
    <xf numFmtId="0" fontId="56" fillId="28" borderId="16" xfId="0" applyFont="1" applyFill="1" applyBorder="1" applyAlignment="1">
      <alignment horizontal="center" wrapText="1"/>
    </xf>
    <xf numFmtId="0" fontId="56" fillId="28" borderId="30" xfId="0" applyFont="1" applyFill="1" applyBorder="1" applyAlignment="1">
      <alignment horizontal="center" wrapText="1"/>
    </xf>
    <xf numFmtId="0" fontId="39" fillId="24" borderId="20" xfId="0" applyFont="1" applyFill="1" applyBorder="1" applyAlignment="1">
      <alignment horizontal="center" vertical="center"/>
    </xf>
    <xf numFmtId="0" fontId="39" fillId="24" borderId="22" xfId="0" applyFont="1" applyFill="1" applyBorder="1" applyAlignment="1">
      <alignment horizontal="center" vertical="center"/>
    </xf>
    <xf numFmtId="0" fontId="30" fillId="24" borderId="52" xfId="0" applyFont="1" applyFill="1" applyBorder="1" applyAlignment="1">
      <alignment horizontal="right"/>
    </xf>
    <xf numFmtId="0" fontId="0" fillId="0" borderId="52" xfId="0" applyBorder="1" applyAlignment="1"/>
    <xf numFmtId="0" fontId="4" fillId="0" borderId="0" xfId="0" applyFont="1" applyAlignment="1"/>
    <xf numFmtId="0" fontId="0" fillId="0" borderId="0" xfId="0" applyAlignment="1"/>
    <xf numFmtId="0" fontId="5" fillId="0" borderId="56" xfId="43" applyFont="1" applyFill="1" applyBorder="1" applyAlignment="1">
      <alignment horizontal="left" vertical="top" wrapText="1"/>
    </xf>
    <xf numFmtId="0" fontId="2" fillId="0" borderId="57" xfId="44" applyBorder="1" applyAlignment="1"/>
    <xf numFmtId="0" fontId="2" fillId="0" borderId="58" xfId="44" applyBorder="1" applyAlignment="1"/>
    <xf numFmtId="0" fontId="2" fillId="0" borderId="28" xfId="44" applyBorder="1" applyAlignment="1"/>
    <xf numFmtId="0" fontId="2" fillId="0" borderId="0" xfId="44" applyBorder="1" applyAlignment="1"/>
    <xf numFmtId="0" fontId="2" fillId="0" borderId="59" xfId="44" applyBorder="1" applyAlignment="1"/>
    <xf numFmtId="0" fontId="2" fillId="0" borderId="54" xfId="44" applyBorder="1" applyAlignment="1"/>
    <xf numFmtId="0" fontId="2" fillId="0" borderId="52" xfId="44" applyBorder="1" applyAlignment="1"/>
    <xf numFmtId="0" fontId="2" fillId="0" borderId="60" xfId="44" applyBorder="1" applyAlignment="1"/>
    <xf numFmtId="0" fontId="47" fillId="0" borderId="18" xfId="43" applyFont="1" applyFill="1" applyBorder="1" applyAlignment="1">
      <alignment horizontal="center" vertical="top" wrapText="1"/>
    </xf>
    <xf numFmtId="0" fontId="47" fillId="0" borderId="13" xfId="43" applyFont="1" applyFill="1" applyBorder="1" applyAlignment="1">
      <alignment horizontal="center" vertical="top" wrapText="1"/>
    </xf>
    <xf numFmtId="0" fontId="47" fillId="0" borderId="14" xfId="43" applyFont="1" applyFill="1" applyBorder="1" applyAlignment="1">
      <alignment horizontal="center" vertical="top" wrapText="1"/>
    </xf>
    <xf numFmtId="0" fontId="47" fillId="0" borderId="34" xfId="43" applyFont="1" applyFill="1" applyBorder="1" applyAlignment="1">
      <alignment horizontal="center" vertical="top" wrapText="1"/>
    </xf>
    <xf numFmtId="0" fontId="47" fillId="0" borderId="18" xfId="43" applyFont="1" applyFill="1" applyBorder="1" applyAlignment="1">
      <alignment horizontal="left" vertical="top" wrapText="1"/>
    </xf>
    <xf numFmtId="0" fontId="47" fillId="0" borderId="13" xfId="43" applyFont="1" applyFill="1" applyBorder="1" applyAlignment="1">
      <alignment horizontal="left" vertical="top" wrapText="1"/>
    </xf>
    <xf numFmtId="0" fontId="47" fillId="0" borderId="69" xfId="43" applyFont="1" applyFill="1" applyBorder="1" applyAlignment="1">
      <alignment horizontal="center" vertical="top" wrapText="1"/>
    </xf>
    <xf numFmtId="0" fontId="47" fillId="0" borderId="73" xfId="43" applyFont="1" applyFill="1" applyBorder="1" applyAlignment="1">
      <alignment horizontal="center" vertical="top" wrapText="1"/>
    </xf>
    <xf numFmtId="0" fontId="47" fillId="0" borderId="40" xfId="43" applyFont="1" applyFill="1" applyBorder="1" applyAlignment="1">
      <alignment horizontal="center" vertical="top" wrapText="1"/>
    </xf>
    <xf numFmtId="0" fontId="47" fillId="0" borderId="36" xfId="43" applyFont="1" applyFill="1" applyBorder="1" applyAlignment="1">
      <alignment horizontal="center" vertical="top" wrapText="1"/>
    </xf>
    <xf numFmtId="0" fontId="47" fillId="0" borderId="69" xfId="43" applyFont="1" applyFill="1" applyBorder="1" applyAlignment="1">
      <alignment horizontal="left" vertical="top" wrapText="1"/>
    </xf>
    <xf numFmtId="0" fontId="47" fillId="0" borderId="73" xfId="43" applyFont="1" applyFill="1" applyBorder="1" applyAlignment="1">
      <alignment horizontal="left" vertical="top" wrapText="1"/>
    </xf>
    <xf numFmtId="0" fontId="3" fillId="0" borderId="44" xfId="43" applyFont="1" applyFill="1" applyBorder="1" applyAlignment="1">
      <alignment horizontal="left" vertical="center"/>
    </xf>
    <xf numFmtId="0" fontId="3" fillId="0" borderId="74" xfId="43" applyFont="1" applyFill="1" applyBorder="1" applyAlignment="1">
      <alignment horizontal="left" vertical="center"/>
    </xf>
    <xf numFmtId="0" fontId="3" fillId="0" borderId="75" xfId="43" applyFont="1" applyFill="1" applyBorder="1" applyAlignment="1">
      <alignment horizontal="left" vertical="center"/>
    </xf>
    <xf numFmtId="0" fontId="3" fillId="0" borderId="76" xfId="43" applyFont="1" applyFill="1" applyBorder="1" applyAlignment="1">
      <alignment horizontal="left" vertical="center"/>
    </xf>
    <xf numFmtId="0" fontId="3" fillId="0" borderId="50" xfId="43" applyFont="1" applyFill="1" applyBorder="1" applyAlignment="1">
      <alignment horizontal="center" vertical="center"/>
    </xf>
    <xf numFmtId="0" fontId="3" fillId="0" borderId="22" xfId="43" applyFont="1" applyFill="1" applyBorder="1" applyAlignment="1">
      <alignment horizontal="center" vertical="center"/>
    </xf>
    <xf numFmtId="0" fontId="3" fillId="0" borderId="23" xfId="43" applyFont="1" applyFill="1" applyBorder="1" applyAlignment="1">
      <alignment horizontal="center" vertical="center"/>
    </xf>
    <xf numFmtId="0" fontId="47" fillId="0" borderId="42" xfId="43" applyFont="1" applyFill="1" applyBorder="1" applyAlignment="1">
      <alignment horizontal="center" vertical="top" wrapText="1"/>
    </xf>
    <xf numFmtId="0" fontId="47" fillId="0" borderId="48" xfId="43" applyFont="1" applyFill="1" applyBorder="1" applyAlignment="1">
      <alignment horizontal="center" vertical="top" wrapText="1"/>
    </xf>
    <xf numFmtId="0" fontId="47" fillId="0" borderId="67" xfId="43" applyFont="1" applyFill="1" applyBorder="1" applyAlignment="1">
      <alignment horizontal="center" vertical="top" wrapText="1"/>
    </xf>
    <xf numFmtId="0" fontId="47" fillId="0" borderId="43" xfId="43" applyFont="1" applyFill="1" applyBorder="1" applyAlignment="1">
      <alignment horizontal="center" vertical="top" wrapText="1"/>
    </xf>
    <xf numFmtId="0" fontId="47" fillId="0" borderId="42" xfId="43" applyFont="1" applyFill="1" applyBorder="1" applyAlignment="1">
      <alignment horizontal="left" vertical="top" wrapText="1"/>
    </xf>
    <xf numFmtId="0" fontId="47" fillId="0" borderId="48" xfId="43" applyFont="1" applyFill="1" applyBorder="1" applyAlignment="1">
      <alignment horizontal="left" vertical="top" wrapText="1"/>
    </xf>
    <xf numFmtId="0" fontId="7" fillId="0" borderId="18" xfId="43" applyFont="1" applyFill="1" applyBorder="1" applyAlignment="1">
      <alignment horizontal="left" vertical="top" wrapText="1"/>
    </xf>
    <xf numFmtId="0" fontId="7" fillId="0" borderId="14" xfId="43" applyFont="1" applyFill="1" applyBorder="1" applyAlignment="1">
      <alignment horizontal="center" vertical="top" wrapText="1"/>
    </xf>
    <xf numFmtId="0" fontId="7" fillId="0" borderId="18" xfId="43" applyFont="1" applyFill="1" applyBorder="1" applyAlignment="1">
      <alignment horizontal="center" vertical="top" wrapText="1"/>
    </xf>
    <xf numFmtId="0" fontId="7" fillId="0" borderId="34" xfId="43" applyFont="1" applyFill="1" applyBorder="1" applyAlignment="1">
      <alignment horizontal="center" vertical="top" wrapText="1"/>
    </xf>
    <xf numFmtId="0" fontId="7" fillId="0" borderId="13" xfId="43" applyFont="1" applyFill="1" applyBorder="1" applyAlignment="1">
      <alignment horizontal="left" vertical="top" wrapText="1"/>
    </xf>
    <xf numFmtId="0" fontId="7" fillId="0" borderId="69" xfId="43" applyFont="1" applyFill="1" applyBorder="1" applyAlignment="1">
      <alignment horizontal="left" vertical="top" wrapText="1"/>
    </xf>
    <xf numFmtId="0" fontId="7" fillId="0" borderId="40" xfId="43" applyFont="1" applyFill="1" applyBorder="1" applyAlignment="1">
      <alignment horizontal="left" vertical="top" wrapText="1"/>
    </xf>
    <xf numFmtId="0" fontId="7" fillId="0" borderId="36" xfId="43" applyFont="1" applyFill="1" applyBorder="1" applyAlignment="1">
      <alignment horizontal="left" vertical="top" wrapText="1"/>
    </xf>
    <xf numFmtId="0" fontId="7" fillId="0" borderId="73" xfId="43" applyFont="1" applyFill="1" applyBorder="1" applyAlignment="1">
      <alignment horizontal="left" vertical="top" wrapText="1"/>
    </xf>
    <xf numFmtId="0" fontId="7" fillId="0" borderId="14" xfId="43" applyFont="1" applyFill="1" applyBorder="1" applyAlignment="1">
      <alignment horizontal="left" vertical="top" wrapText="1"/>
    </xf>
    <xf numFmtId="0" fontId="7" fillId="0" borderId="34" xfId="43" applyFont="1" applyFill="1" applyBorder="1" applyAlignment="1">
      <alignment horizontal="left" vertical="top" wrapText="1"/>
    </xf>
    <xf numFmtId="0" fontId="7" fillId="0" borderId="39" xfId="43" applyFont="1" applyFill="1" applyBorder="1" applyAlignment="1">
      <alignment horizontal="left" vertical="top" wrapText="1"/>
    </xf>
    <xf numFmtId="0" fontId="7" fillId="0" borderId="31" xfId="43" applyFont="1" applyFill="1" applyBorder="1" applyAlignment="1">
      <alignment horizontal="left" vertical="top" wrapText="1"/>
    </xf>
    <xf numFmtId="0" fontId="7" fillId="0" borderId="32" xfId="43" applyFont="1" applyFill="1" applyBorder="1" applyAlignment="1">
      <alignment horizontal="left" vertical="top" wrapText="1"/>
    </xf>
    <xf numFmtId="0" fontId="5" fillId="0" borderId="12" xfId="43" applyFont="1" applyFill="1" applyBorder="1" applyAlignment="1" applyProtection="1">
      <alignment horizontal="left" vertical="top" wrapText="1"/>
    </xf>
    <xf numFmtId="0" fontId="2" fillId="0" borderId="12" xfId="44" applyFont="1" applyBorder="1" applyAlignment="1">
      <alignment horizontal="left" vertical="top" wrapText="1"/>
    </xf>
    <xf numFmtId="0" fontId="5" fillId="0" borderId="12" xfId="44" applyFont="1" applyFill="1" applyBorder="1" applyAlignment="1">
      <alignment horizontal="left" vertical="top" wrapText="1"/>
    </xf>
    <xf numFmtId="0" fontId="2" fillId="0" borderId="12" xfId="44" applyBorder="1" applyAlignment="1">
      <alignment horizontal="left" vertical="top" wrapText="1"/>
    </xf>
    <xf numFmtId="0" fontId="3" fillId="0" borderId="54" xfId="43" applyFont="1" applyFill="1" applyBorder="1" applyAlignment="1" applyProtection="1">
      <alignment horizontal="center" vertical="center" wrapText="1"/>
    </xf>
    <xf numFmtId="0" fontId="2" fillId="0" borderId="52" xfId="44" applyBorder="1" applyAlignment="1">
      <alignment horizontal="center" vertical="center"/>
    </xf>
    <xf numFmtId="0" fontId="2" fillId="0" borderId="23" xfId="44" applyBorder="1" applyAlignment="1">
      <alignment horizontal="center" vertical="center"/>
    </xf>
    <xf numFmtId="0" fontId="3" fillId="0" borderId="50" xfId="43" applyFont="1" applyFill="1" applyBorder="1" applyAlignment="1">
      <alignment horizontal="center" vertical="center" wrapText="1"/>
    </xf>
    <xf numFmtId="0" fontId="3" fillId="0" borderId="22" xfId="43" applyFont="1" applyFill="1" applyBorder="1" applyAlignment="1">
      <alignment horizontal="center" vertical="center" wrapText="1"/>
    </xf>
    <xf numFmtId="0" fontId="3" fillId="0" borderId="23" xfId="43" applyFont="1" applyFill="1" applyBorder="1" applyAlignment="1">
      <alignment horizontal="center" vertical="center" wrapText="1"/>
    </xf>
    <xf numFmtId="0" fontId="3" fillId="0" borderId="20" xfId="43" applyFont="1" applyFill="1" applyBorder="1" applyAlignment="1">
      <alignment horizontal="center" vertical="center"/>
    </xf>
    <xf numFmtId="0" fontId="2" fillId="0" borderId="22" xfId="44" applyBorder="1" applyAlignment="1">
      <alignment horizontal="center" vertical="center"/>
    </xf>
    <xf numFmtId="0" fontId="7" fillId="0" borderId="71" xfId="43" applyFont="1" applyFill="1" applyBorder="1" applyAlignment="1">
      <alignment horizontal="left" vertical="top" wrapText="1"/>
    </xf>
    <xf numFmtId="0" fontId="3" fillId="0" borderId="17" xfId="43" applyFont="1" applyFill="1" applyBorder="1" applyAlignment="1">
      <alignment horizontal="center" vertical="center"/>
    </xf>
    <xf numFmtId="0" fontId="3" fillId="0" borderId="18" xfId="43" applyFont="1" applyFill="1" applyBorder="1" applyAlignment="1">
      <alignment horizontal="center" vertical="center"/>
    </xf>
    <xf numFmtId="0" fontId="3" fillId="0" borderId="34" xfId="43" applyFont="1" applyFill="1" applyBorder="1" applyAlignment="1">
      <alignment horizontal="center" vertical="center"/>
    </xf>
    <xf numFmtId="0" fontId="3" fillId="0" borderId="41" xfId="43" applyFont="1" applyFill="1" applyBorder="1" applyAlignment="1">
      <alignment horizontal="center" vertical="center"/>
    </xf>
    <xf numFmtId="0" fontId="3" fillId="0" borderId="43" xfId="43" applyFont="1" applyFill="1" applyBorder="1" applyAlignment="1">
      <alignment horizontal="center" vertical="center"/>
    </xf>
    <xf numFmtId="0" fontId="49" fillId="0" borderId="41" xfId="43" applyFont="1" applyFill="1" applyBorder="1" applyAlignment="1">
      <alignment horizontal="center" vertical="center"/>
    </xf>
    <xf numFmtId="0" fontId="49" fillId="0" borderId="42" xfId="43" applyFont="1" applyFill="1" applyBorder="1" applyAlignment="1">
      <alignment horizontal="center" vertical="center"/>
    </xf>
    <xf numFmtId="0" fontId="49" fillId="0" borderId="43" xfId="43" applyFont="1" applyFill="1" applyBorder="1" applyAlignment="1">
      <alignment horizontal="center" vertical="center"/>
    </xf>
    <xf numFmtId="0" fontId="3" fillId="0" borderId="69" xfId="43" applyFont="1" applyFill="1" applyBorder="1" applyAlignment="1">
      <alignment horizontal="center" vertical="center"/>
    </xf>
    <xf numFmtId="0" fontId="2" fillId="0" borderId="36" xfId="44" applyBorder="1" applyAlignment="1">
      <alignment horizontal="center" vertical="center"/>
    </xf>
    <xf numFmtId="0" fontId="47" fillId="0" borderId="12" xfId="43" applyFont="1" applyFill="1" applyBorder="1" applyAlignment="1">
      <alignment horizontal="left" vertical="top" wrapText="1"/>
    </xf>
    <xf numFmtId="0" fontId="3" fillId="0" borderId="42" xfId="43" applyFont="1" applyFill="1" applyBorder="1" applyAlignment="1">
      <alignment horizontal="center" vertical="center"/>
    </xf>
    <xf numFmtId="0" fontId="46" fillId="0" borderId="0" xfId="43" applyFont="1" applyFill="1" applyBorder="1" applyAlignment="1">
      <alignment horizontal="center" vertical="center" wrapText="1"/>
    </xf>
    <xf numFmtId="0" fontId="7" fillId="0" borderId="12" xfId="43" applyFont="1" applyFill="1" applyBorder="1" applyAlignment="1">
      <alignment horizontal="left" vertical="top" wrapText="1"/>
    </xf>
    <xf numFmtId="0" fontId="3" fillId="0" borderId="56" xfId="44" applyFont="1" applyFill="1" applyBorder="1" applyAlignment="1">
      <alignment horizontal="left" vertical="center" wrapText="1"/>
    </xf>
    <xf numFmtId="0" fontId="2" fillId="0" borderId="57" xfId="44" applyFill="1" applyBorder="1" applyAlignment="1">
      <alignment horizontal="left" vertical="center"/>
    </xf>
    <xf numFmtId="0" fontId="2" fillId="0" borderId="58" xfId="44" applyFill="1" applyBorder="1" applyAlignment="1">
      <alignment horizontal="left" vertical="center"/>
    </xf>
    <xf numFmtId="0" fontId="2" fillId="0" borderId="54" xfId="44" applyFill="1" applyBorder="1" applyAlignment="1">
      <alignment horizontal="left" vertical="center"/>
    </xf>
    <xf numFmtId="0" fontId="2" fillId="0" borderId="52" xfId="44" applyFill="1" applyBorder="1" applyAlignment="1">
      <alignment horizontal="left" vertical="center"/>
    </xf>
    <xf numFmtId="0" fontId="2" fillId="0" borderId="60" xfId="44" applyFill="1" applyBorder="1" applyAlignment="1">
      <alignment horizontal="left" vertical="center"/>
    </xf>
    <xf numFmtId="0" fontId="11" fillId="0" borderId="56" xfId="44" applyFont="1" applyFill="1" applyBorder="1" applyAlignment="1">
      <alignment horizontal="center" vertical="center" wrapText="1"/>
    </xf>
    <xf numFmtId="0" fontId="11" fillId="0" borderId="57" xfId="44" applyFont="1" applyFill="1" applyBorder="1" applyAlignment="1">
      <alignment horizontal="center" vertical="center"/>
    </xf>
    <xf numFmtId="0" fontId="11" fillId="0" borderId="58" xfId="44" applyFont="1" applyFill="1" applyBorder="1" applyAlignment="1">
      <alignment horizontal="center" vertical="center"/>
    </xf>
    <xf numFmtId="0" fontId="11" fillId="0" borderId="54" xfId="44" applyFont="1" applyFill="1" applyBorder="1" applyAlignment="1">
      <alignment horizontal="center" vertical="center"/>
    </xf>
    <xf numFmtId="0" fontId="11" fillId="0" borderId="52" xfId="44" applyFont="1" applyFill="1" applyBorder="1" applyAlignment="1">
      <alignment horizontal="center" vertical="center"/>
    </xf>
    <xf numFmtId="0" fontId="11" fillId="0" borderId="60" xfId="44" applyFont="1" applyFill="1" applyBorder="1" applyAlignment="1">
      <alignment horizontal="center" vertical="center"/>
    </xf>
    <xf numFmtId="0" fontId="45" fillId="33" borderId="61" xfId="43" applyFont="1" applyFill="1" applyBorder="1" applyAlignment="1" applyProtection="1">
      <alignment horizontal="center" vertical="center"/>
    </xf>
    <xf numFmtId="0" fontId="45" fillId="33" borderId="62" xfId="43" applyFont="1" applyFill="1" applyBorder="1" applyAlignment="1" applyProtection="1">
      <alignment horizontal="center" vertical="center"/>
    </xf>
    <xf numFmtId="0" fontId="45" fillId="33" borderId="63" xfId="43" applyFont="1" applyFill="1" applyBorder="1" applyAlignment="1" applyProtection="1">
      <alignment horizontal="center" vertical="center"/>
    </xf>
    <xf numFmtId="0" fontId="45" fillId="34" borderId="64" xfId="43" applyFont="1" applyFill="1" applyBorder="1" applyAlignment="1" applyProtection="1">
      <alignment horizontal="center" vertical="center"/>
    </xf>
    <xf numFmtId="0" fontId="45" fillId="34" borderId="65" xfId="43" applyFont="1" applyFill="1" applyBorder="1" applyAlignment="1" applyProtection="1">
      <alignment horizontal="center" vertical="center"/>
    </xf>
    <xf numFmtId="0" fontId="45" fillId="34" borderId="66" xfId="43" applyFont="1" applyFill="1" applyBorder="1" applyAlignment="1" applyProtection="1">
      <alignment horizontal="center" vertical="center"/>
    </xf>
    <xf numFmtId="0" fontId="7" fillId="0" borderId="67" xfId="43" applyFont="1" applyFill="1" applyBorder="1" applyAlignment="1">
      <alignment horizontal="left" vertical="top" wrapText="1"/>
    </xf>
    <xf numFmtId="0" fontId="7" fillId="0" borderId="42" xfId="43" applyFont="1" applyFill="1" applyBorder="1" applyAlignment="1">
      <alignment horizontal="left" vertical="top" wrapText="1"/>
    </xf>
    <xf numFmtId="0" fontId="7" fillId="0" borderId="48" xfId="43" applyFont="1" applyFill="1" applyBorder="1" applyAlignment="1">
      <alignment horizontal="left" vertical="top" wrapText="1"/>
    </xf>
    <xf numFmtId="0" fontId="3" fillId="0" borderId="20" xfId="43" applyFont="1" applyFill="1" applyBorder="1" applyAlignment="1">
      <alignment vertical="center"/>
    </xf>
    <xf numFmtId="0" fontId="40" fillId="0" borderId="23" xfId="43" applyFill="1" applyBorder="1" applyAlignment="1">
      <alignment vertical="center"/>
    </xf>
    <xf numFmtId="0" fontId="3" fillId="0" borderId="20" xfId="43" applyFont="1" applyFill="1" applyBorder="1" applyAlignment="1">
      <alignment horizontal="left" vertical="center"/>
    </xf>
    <xf numFmtId="0" fontId="3" fillId="0" borderId="22" xfId="43" applyFont="1" applyFill="1" applyBorder="1" applyAlignment="1">
      <alignment horizontal="left" vertical="center"/>
    </xf>
    <xf numFmtId="0" fontId="3" fillId="0" borderId="23" xfId="43" applyFont="1" applyFill="1" applyBorder="1" applyAlignment="1">
      <alignment horizontal="left" vertical="center"/>
    </xf>
    <xf numFmtId="15" fontId="3" fillId="0" borderId="20" xfId="43" applyNumberFormat="1" applyFont="1" applyFill="1" applyBorder="1" applyAlignment="1">
      <alignment horizontal="center" vertical="center"/>
    </xf>
    <xf numFmtId="0" fontId="40" fillId="0" borderId="22" xfId="43" applyFill="1" applyBorder="1" applyAlignment="1">
      <alignment vertical="center"/>
    </xf>
    <xf numFmtId="0" fontId="2" fillId="0" borderId="22" xfId="44" applyBorder="1" applyAlignment="1">
      <alignment vertical="center"/>
    </xf>
    <xf numFmtId="0" fontId="2" fillId="0" borderId="23" xfId="44" applyBorder="1" applyAlignment="1">
      <alignment vertical="center"/>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conomics" xfId="45"/>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3" xfId="44"/>
    <cellStyle name="Normal_Copy of Risk Register template (bow tie)" xfId="43"/>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495300</xdr:colOff>
      <xdr:row>61</xdr:row>
      <xdr:rowOff>95250</xdr:rowOff>
    </xdr:from>
    <xdr:to>
      <xdr:col>14</xdr:col>
      <xdr:colOff>314325</xdr:colOff>
      <xdr:row>66</xdr:row>
      <xdr:rowOff>47625</xdr:rowOff>
    </xdr:to>
    <xdr:pic>
      <xdr:nvPicPr>
        <xdr:cNvPr id="5" name="Picture 5"/>
        <xdr:cNvPicPr>
          <a:picLocks noChangeAspect="1" noChangeArrowheads="1"/>
        </xdr:cNvPicPr>
      </xdr:nvPicPr>
      <xdr:blipFill rotWithShape="1">
        <a:blip xmlns:r="http://schemas.openxmlformats.org/officeDocument/2006/relationships" r:embed="rId1" cstate="print"/>
        <a:srcRect r="15312" b="89101"/>
        <a:stretch/>
      </xdr:blipFill>
      <xdr:spPr bwMode="auto">
        <a:xfrm>
          <a:off x="1104900" y="9972675"/>
          <a:ext cx="7743825" cy="762000"/>
        </a:xfrm>
        <a:prstGeom prst="rect">
          <a:avLst/>
        </a:prstGeom>
        <a:noFill/>
      </xdr:spPr>
    </xdr:pic>
    <xdr:clientData/>
  </xdr:twoCellAnchor>
  <xdr:twoCellAnchor editAs="oneCell">
    <xdr:from>
      <xdr:col>1</xdr:col>
      <xdr:colOff>542925</xdr:colOff>
      <xdr:row>68</xdr:row>
      <xdr:rowOff>66675</xdr:rowOff>
    </xdr:from>
    <xdr:to>
      <xdr:col>14</xdr:col>
      <xdr:colOff>286732</xdr:colOff>
      <xdr:row>102</xdr:row>
      <xdr:rowOff>66674</xdr:rowOff>
    </xdr:to>
    <xdr:pic>
      <xdr:nvPicPr>
        <xdr:cNvPr id="11" name="Picture 10"/>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2525" y="11077575"/>
          <a:ext cx="7668607" cy="550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95249</xdr:colOff>
      <xdr:row>1</xdr:row>
      <xdr:rowOff>76199</xdr:rowOff>
    </xdr:from>
    <xdr:to>
      <xdr:col>21</xdr:col>
      <xdr:colOff>324289</xdr:colOff>
      <xdr:row>56</xdr:row>
      <xdr:rowOff>66675</xdr:rowOff>
    </xdr:to>
    <xdr:pic>
      <xdr:nvPicPr>
        <xdr:cNvPr id="13" name="Picture 12"/>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04849" y="238124"/>
          <a:ext cx="12421040" cy="9153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600075</xdr:colOff>
      <xdr:row>7</xdr:row>
      <xdr:rowOff>95250</xdr:rowOff>
    </xdr:from>
    <xdr:to>
      <xdr:col>35</xdr:col>
      <xdr:colOff>279546</xdr:colOff>
      <xdr:row>30</xdr:row>
      <xdr:rowOff>28575</xdr:rowOff>
    </xdr:to>
    <xdr:pic>
      <xdr:nvPicPr>
        <xdr:cNvPr id="9" name="Picture 8"/>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011275" y="1485900"/>
          <a:ext cx="8604396"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112058</xdr:colOff>
      <xdr:row>8</xdr:row>
      <xdr:rowOff>112058</xdr:rowOff>
    </xdr:from>
    <xdr:to>
      <xdr:col>17</xdr:col>
      <xdr:colOff>100850</xdr:colOff>
      <xdr:row>13</xdr:row>
      <xdr:rowOff>313763</xdr:rowOff>
    </xdr:to>
    <xdr:sp macro="" textlink="">
      <xdr:nvSpPr>
        <xdr:cNvPr id="2" name="Oval 1"/>
        <xdr:cNvSpPr/>
      </xdr:nvSpPr>
      <xdr:spPr>
        <a:xfrm>
          <a:off x="7865408" y="2579033"/>
          <a:ext cx="2560542" cy="1697130"/>
        </a:xfrm>
        <a:prstGeom prst="ellipse">
          <a:avLst/>
        </a:prstGeom>
        <a:solidFill>
          <a:srgbClr val="FF0000">
            <a:alpha val="54000"/>
          </a:srgbClr>
        </a:solidFill>
        <a:ln>
          <a:solidFill>
            <a:srgbClr val="FF0000">
              <a:alpha val="87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AU" sz="1100"/>
        </a:p>
      </xdr:txBody>
    </xdr:sp>
    <xdr:clientData/>
  </xdr:twoCellAnchor>
  <xdr:twoCellAnchor>
    <xdr:from>
      <xdr:col>18</xdr:col>
      <xdr:colOff>123825</xdr:colOff>
      <xdr:row>6</xdr:row>
      <xdr:rowOff>104775</xdr:rowOff>
    </xdr:from>
    <xdr:to>
      <xdr:col>21</xdr:col>
      <xdr:colOff>481853</xdr:colOff>
      <xdr:row>16</xdr:row>
      <xdr:rowOff>114300</xdr:rowOff>
    </xdr:to>
    <xdr:sp macro="" textlink="">
      <xdr:nvSpPr>
        <xdr:cNvPr id="3" name="AutoShape 1"/>
        <xdr:cNvSpPr>
          <a:spLocks noChangeArrowheads="1"/>
        </xdr:cNvSpPr>
      </xdr:nvSpPr>
      <xdr:spPr bwMode="auto">
        <a:xfrm rot="-5400000">
          <a:off x="10399339" y="2011736"/>
          <a:ext cx="3324225" cy="2977403"/>
        </a:xfrm>
        <a:prstGeom prst="triangle">
          <a:avLst>
            <a:gd name="adj" fmla="val 50000"/>
          </a:avLst>
        </a:prstGeom>
        <a:solidFill>
          <a:srgbClr val="97BCE5"/>
        </a:solidFill>
        <a:ln w="38100" algn="ctr">
          <a:solidFill>
            <a:srgbClr val="000000"/>
          </a:solidFill>
          <a:miter lim="800000"/>
          <a:headEnd/>
          <a:tailEnd/>
        </a:ln>
      </xdr:spPr>
    </xdr:sp>
    <xdr:clientData/>
  </xdr:twoCellAnchor>
  <xdr:twoCellAnchor>
    <xdr:from>
      <xdr:col>8</xdr:col>
      <xdr:colOff>156882</xdr:colOff>
      <xdr:row>6</xdr:row>
      <xdr:rowOff>114300</xdr:rowOff>
    </xdr:from>
    <xdr:to>
      <xdr:col>11</xdr:col>
      <xdr:colOff>171450</xdr:colOff>
      <xdr:row>16</xdr:row>
      <xdr:rowOff>123825</xdr:rowOff>
    </xdr:to>
    <xdr:sp macro="" textlink="">
      <xdr:nvSpPr>
        <xdr:cNvPr id="4" name="AutoShape 2"/>
        <xdr:cNvSpPr>
          <a:spLocks noChangeArrowheads="1"/>
        </xdr:cNvSpPr>
      </xdr:nvSpPr>
      <xdr:spPr bwMode="auto">
        <a:xfrm rot="5400000" flipH="1">
          <a:off x="4521853" y="2064404"/>
          <a:ext cx="3324225" cy="2891118"/>
        </a:xfrm>
        <a:prstGeom prst="triangle">
          <a:avLst>
            <a:gd name="adj" fmla="val 50222"/>
          </a:avLst>
        </a:prstGeom>
        <a:solidFill>
          <a:srgbClr val="97BCE5"/>
        </a:solidFill>
        <a:ln w="38100">
          <a:solidFill>
            <a:srgbClr val="000000"/>
          </a:solidFill>
          <a:miter lim="800000"/>
          <a:headEnd/>
          <a:tailEnd/>
        </a:ln>
      </xdr:spPr>
    </xdr:sp>
    <xdr:clientData/>
  </xdr:twoCellAnchor>
  <xdr:twoCellAnchor>
    <xdr:from>
      <xdr:col>8</xdr:col>
      <xdr:colOff>153521</xdr:colOff>
      <xdr:row>10</xdr:row>
      <xdr:rowOff>222435</xdr:rowOff>
    </xdr:from>
    <xdr:to>
      <xdr:col>10</xdr:col>
      <xdr:colOff>593912</xdr:colOff>
      <xdr:row>12</xdr:row>
      <xdr:rowOff>89647</xdr:rowOff>
    </xdr:to>
    <xdr:sp macro="" textlink="">
      <xdr:nvSpPr>
        <xdr:cNvPr id="5" name="Text Box 3"/>
        <xdr:cNvSpPr txBox="1">
          <a:spLocks noChangeArrowheads="1"/>
        </xdr:cNvSpPr>
      </xdr:nvSpPr>
      <xdr:spPr bwMode="auto">
        <a:xfrm>
          <a:off x="4735046" y="3260910"/>
          <a:ext cx="2393016" cy="495862"/>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EXISTING PREVENTATIVE CONTROLS</a:t>
          </a:r>
        </a:p>
        <a:p>
          <a:pPr algn="ctr" rtl="0">
            <a:defRPr sz="1000"/>
          </a:pPr>
          <a:endParaRPr lang="en-AU" sz="1200" b="1" i="0" u="none" strike="noStrike" baseline="0">
            <a:solidFill>
              <a:srgbClr val="000000"/>
            </a:solidFill>
            <a:latin typeface="Arial"/>
            <a:cs typeface="Arial"/>
          </a:endParaRPr>
        </a:p>
        <a:p>
          <a:pPr algn="ctr" rtl="0">
            <a:defRPr sz="1000"/>
          </a:pPr>
          <a:endParaRPr lang="en-AU" sz="1200" b="1" i="0" u="none" strike="noStrike" baseline="0">
            <a:solidFill>
              <a:srgbClr val="000000"/>
            </a:solidFill>
            <a:latin typeface="Arial"/>
            <a:cs typeface="Arial"/>
          </a:endParaRPr>
        </a:p>
      </xdr:txBody>
    </xdr:sp>
    <xdr:clientData/>
  </xdr:twoCellAnchor>
  <xdr:twoCellAnchor>
    <xdr:from>
      <xdr:col>20</xdr:col>
      <xdr:colOff>282388</xdr:colOff>
      <xdr:row>10</xdr:row>
      <xdr:rowOff>177613</xdr:rowOff>
    </xdr:from>
    <xdr:to>
      <xdr:col>21</xdr:col>
      <xdr:colOff>255493</xdr:colOff>
      <xdr:row>12</xdr:row>
      <xdr:rowOff>56029</xdr:rowOff>
    </xdr:to>
    <xdr:sp macro="" textlink="">
      <xdr:nvSpPr>
        <xdr:cNvPr id="6" name="Text Box 4"/>
        <xdr:cNvSpPr txBox="1">
          <a:spLocks noChangeArrowheads="1"/>
        </xdr:cNvSpPr>
      </xdr:nvSpPr>
      <xdr:spPr bwMode="auto">
        <a:xfrm>
          <a:off x="11483788" y="3216088"/>
          <a:ext cx="1859055" cy="507066"/>
        </a:xfrm>
        <a:prstGeom prst="rect">
          <a:avLst/>
        </a:prstGeom>
        <a:noFill/>
        <a:ln w="9525">
          <a:noFill/>
          <a:miter lim="800000"/>
          <a:headEnd/>
          <a:tailEnd/>
        </a:ln>
      </xdr:spPr>
      <xdr:txBody>
        <a:bodyPr vertOverflow="clip" wrap="square" lIns="36576" tIns="27432" rIns="36576" bIns="0" anchor="t" upright="1"/>
        <a:lstStyle/>
        <a:p>
          <a:pPr algn="ctr" rtl="0">
            <a:defRPr sz="1000"/>
          </a:pPr>
          <a:r>
            <a:rPr lang="en-AU" sz="1200" b="1" i="0" u="none" strike="noStrike" baseline="0">
              <a:solidFill>
                <a:srgbClr val="000000"/>
              </a:solidFill>
              <a:latin typeface="Arial"/>
              <a:cs typeface="Arial"/>
            </a:rPr>
            <a:t>EXISTING MITIGATING CONTROLS</a:t>
          </a:r>
        </a:p>
        <a:p>
          <a:pPr algn="ctr" rtl="0">
            <a:defRPr sz="1000"/>
          </a:pPr>
          <a:r>
            <a:rPr lang="en-AU" sz="1200" b="1" i="0" u="none" strike="noStrike" baseline="0">
              <a:solidFill>
                <a:srgbClr val="000000"/>
              </a:solidFill>
              <a:latin typeface="Arial"/>
              <a:cs typeface="Arial"/>
            </a:rPr>
            <a:t> </a:t>
          </a:r>
        </a:p>
      </xdr:txBody>
    </xdr:sp>
    <xdr:clientData/>
  </xdr:twoCellAnchor>
  <xdr:twoCellAnchor>
    <xdr:from>
      <xdr:col>9</xdr:col>
      <xdr:colOff>217395</xdr:colOff>
      <xdr:row>14</xdr:row>
      <xdr:rowOff>240926</xdr:rowOff>
    </xdr:from>
    <xdr:to>
      <xdr:col>9</xdr:col>
      <xdr:colOff>806826</xdr:colOff>
      <xdr:row>19</xdr:row>
      <xdr:rowOff>247652</xdr:rowOff>
    </xdr:to>
    <xdr:sp macro="" textlink="">
      <xdr:nvSpPr>
        <xdr:cNvPr id="7" name="AutoShape 6"/>
        <xdr:cNvSpPr>
          <a:spLocks noChangeArrowheads="1"/>
        </xdr:cNvSpPr>
      </xdr:nvSpPr>
      <xdr:spPr bwMode="auto">
        <a:xfrm rot="5400000">
          <a:off x="5180760" y="5088311"/>
          <a:ext cx="1654551" cy="589431"/>
        </a:xfrm>
        <a:custGeom>
          <a:avLst/>
          <a:gdLst>
            <a:gd name="T0" fmla="*/ 621506 w 21600"/>
            <a:gd name="T1" fmla="*/ 0 h 21600"/>
            <a:gd name="T2" fmla="*/ 0 w 21600"/>
            <a:gd name="T3" fmla="*/ 385763 h 21600"/>
            <a:gd name="T4" fmla="*/ 621506 w 21600"/>
            <a:gd name="T5" fmla="*/ 771525 h 21600"/>
            <a:gd name="T6" fmla="*/ 828675 w 21600"/>
            <a:gd name="T7" fmla="*/ 385763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gradFill rotWithShape="1">
          <a:gsLst>
            <a:gs pos="0">
              <a:srgbClr val="8E8E8E"/>
            </a:gs>
            <a:gs pos="100000">
              <a:srgbClr val="000000"/>
            </a:gs>
          </a:gsLst>
          <a:lin ang="0" scaled="1"/>
        </a:gradFill>
        <a:ln w="9525">
          <a:solidFill>
            <a:srgbClr val="000000"/>
          </a:solidFill>
          <a:miter lim="800000"/>
          <a:headEnd/>
          <a:tailEnd/>
        </a:ln>
      </xdr:spPr>
    </xdr:sp>
    <xdr:clientData/>
  </xdr:twoCellAnchor>
  <xdr:twoCellAnchor>
    <xdr:from>
      <xdr:col>11</xdr:col>
      <xdr:colOff>224118</xdr:colOff>
      <xdr:row>7</xdr:row>
      <xdr:rowOff>190500</xdr:rowOff>
    </xdr:from>
    <xdr:to>
      <xdr:col>18</xdr:col>
      <xdr:colOff>112059</xdr:colOff>
      <xdr:row>14</xdr:row>
      <xdr:rowOff>336177</xdr:rowOff>
    </xdr:to>
    <xdr:sp macro="" textlink="">
      <xdr:nvSpPr>
        <xdr:cNvPr id="8" name="Rectangle 7"/>
        <xdr:cNvSpPr/>
      </xdr:nvSpPr>
      <xdr:spPr>
        <a:xfrm>
          <a:off x="7682193" y="2305050"/>
          <a:ext cx="2878791" cy="2307852"/>
        </a:xfrm>
        <a:prstGeom prst="rect">
          <a:avLst/>
        </a:prstGeom>
        <a:solidFill>
          <a:schemeClr val="accent2">
            <a:lumMod val="40000"/>
            <a:lumOff val="60000"/>
            <a:alpha val="17000"/>
          </a:schemeClr>
        </a:solidFill>
        <a:ln>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AU" sz="1800" b="1">
              <a:solidFill>
                <a:srgbClr val="FF0000"/>
              </a:solidFill>
              <a:latin typeface="Arial" pitchFamily="34" charset="0"/>
              <a:cs typeface="Arial" pitchFamily="34" charset="0"/>
            </a:rPr>
            <a:t>Event</a:t>
          </a:r>
        </a:p>
      </xdr:txBody>
    </xdr:sp>
    <xdr:clientData/>
  </xdr:twoCellAnchor>
  <xdr:twoCellAnchor>
    <xdr:from>
      <xdr:col>20</xdr:col>
      <xdr:colOff>750795</xdr:colOff>
      <xdr:row>14</xdr:row>
      <xdr:rowOff>291354</xdr:rowOff>
    </xdr:from>
    <xdr:to>
      <xdr:col>20</xdr:col>
      <xdr:colOff>1340226</xdr:colOff>
      <xdr:row>19</xdr:row>
      <xdr:rowOff>247652</xdr:rowOff>
    </xdr:to>
    <xdr:sp macro="" textlink="">
      <xdr:nvSpPr>
        <xdr:cNvPr id="9" name="AutoShape 6"/>
        <xdr:cNvSpPr>
          <a:spLocks noChangeArrowheads="1"/>
        </xdr:cNvSpPr>
      </xdr:nvSpPr>
      <xdr:spPr bwMode="auto">
        <a:xfrm rot="5400000">
          <a:off x="11444849" y="5113525"/>
          <a:ext cx="1604123" cy="589431"/>
        </a:xfrm>
        <a:custGeom>
          <a:avLst/>
          <a:gdLst>
            <a:gd name="T0" fmla="*/ 621506 w 21600"/>
            <a:gd name="T1" fmla="*/ 0 h 21600"/>
            <a:gd name="T2" fmla="*/ 0 w 21600"/>
            <a:gd name="T3" fmla="*/ 385763 h 21600"/>
            <a:gd name="T4" fmla="*/ 621506 w 21600"/>
            <a:gd name="T5" fmla="*/ 771525 h 21600"/>
            <a:gd name="T6" fmla="*/ 828675 w 21600"/>
            <a:gd name="T7" fmla="*/ 385763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gradFill rotWithShape="1">
          <a:gsLst>
            <a:gs pos="0">
              <a:srgbClr val="8E8E8E"/>
            </a:gs>
            <a:gs pos="100000">
              <a:srgbClr val="000000"/>
            </a:gs>
          </a:gsLst>
          <a:lin ang="0" scaled="1"/>
        </a:gradFill>
        <a:ln w="9525">
          <a:solidFill>
            <a:srgbClr val="000000"/>
          </a:solidFill>
          <a:miter lim="800000"/>
          <a:headEnd/>
          <a:tailEnd/>
        </a:ln>
      </xdr:spPr>
    </xdr:sp>
    <xdr:clientData/>
  </xdr:twoCellAnchor>
  <xdr:twoCellAnchor>
    <xdr:from>
      <xdr:col>13</xdr:col>
      <xdr:colOff>414616</xdr:colOff>
      <xdr:row>10</xdr:row>
      <xdr:rowOff>44825</xdr:rowOff>
    </xdr:from>
    <xdr:to>
      <xdr:col>17</xdr:col>
      <xdr:colOff>112057</xdr:colOff>
      <xdr:row>13</xdr:row>
      <xdr:rowOff>67237</xdr:rowOff>
    </xdr:to>
    <xdr:sp macro="" textlink="">
      <xdr:nvSpPr>
        <xdr:cNvPr id="10" name="Text Box 25"/>
        <xdr:cNvSpPr txBox="1">
          <a:spLocks noChangeArrowheads="1"/>
        </xdr:cNvSpPr>
      </xdr:nvSpPr>
      <xdr:spPr bwMode="auto">
        <a:xfrm>
          <a:off x="8282266" y="3083300"/>
          <a:ext cx="2154891" cy="946337"/>
        </a:xfrm>
        <a:prstGeom prst="rect">
          <a:avLst/>
        </a:prstGeom>
        <a:solidFill>
          <a:srgbClr val="FFFFFF">
            <a:alpha val="0"/>
          </a:srgbClr>
        </a:solidFill>
        <a:ln w="9525">
          <a:solidFill>
            <a:srgbClr val="000000">
              <a:alpha val="0"/>
            </a:srgbClr>
          </a:solidFill>
          <a:miter lim="800000"/>
          <a:headEnd/>
          <a:tailEnd/>
        </a:ln>
      </xdr:spPr>
      <xdr:txBody>
        <a:bodyPr vertOverflow="clip" wrap="square" lIns="27432" tIns="22860" rIns="0" bIns="0" anchor="t" upright="1"/>
        <a:lstStyle/>
        <a:p>
          <a:pPr algn="l" rtl="0">
            <a:defRPr sz="1000"/>
          </a:pPr>
          <a:r>
            <a:rPr lang="en-AU" sz="1800" b="1" i="0" u="none" strike="noStrike" baseline="0">
              <a:solidFill>
                <a:srgbClr val="000000"/>
              </a:solidFill>
              <a:latin typeface="Arial"/>
              <a:cs typeface="Arial"/>
            </a:rPr>
            <a:t>Incident during Lifting operation</a:t>
          </a:r>
        </a:p>
      </xdr:txBody>
    </xdr:sp>
    <xdr:clientData/>
  </xdr:twoCellAnchor>
  <xdr:twoCellAnchor>
    <xdr:from>
      <xdr:col>10</xdr:col>
      <xdr:colOff>686311</xdr:colOff>
      <xdr:row>1</xdr:row>
      <xdr:rowOff>287828</xdr:rowOff>
    </xdr:from>
    <xdr:to>
      <xdr:col>20</xdr:col>
      <xdr:colOff>900861</xdr:colOff>
      <xdr:row>5</xdr:row>
      <xdr:rowOff>63710</xdr:rowOff>
    </xdr:to>
    <xdr:sp macro="" textlink="">
      <xdr:nvSpPr>
        <xdr:cNvPr id="11" name="TextBox 10"/>
        <xdr:cNvSpPr txBox="1"/>
      </xdr:nvSpPr>
      <xdr:spPr>
        <a:xfrm rot="20654392">
          <a:off x="7241752" y="646416"/>
          <a:ext cx="4876197" cy="84044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rgbClr val="FF0000"/>
              </a:solidFill>
            </a:rPr>
            <a:t>BOW-TIE EXAMPLE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WINDOWS\TEMP\Functional%20cost%20templ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uksrv07\lon-wgp\Liverpool%20Bay\Liv%20Bay%20SubSurface%20Team\Well%20Management\Forecast\Medium%20Term%20Forecast\Forecast%2018%20Month%20-%20December%2020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etpoa-svr01\poa-wgp\Development%20and%20Planning\Documents\Operations%20Lifecycle%20Plan\Rev%202\Archive\Liftingcos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etpoa-svr01\poa-wgp\Development%20and%20Planning\Tools%20&amp;%20Utilities\Financial%20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Medium%20Term%20Forecast\Forecast%2018%20Month%20-%20December%2020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etpoa-svr01\poa-wgp\Development%20and%20Planning\Documents\Operations%20Lifecycle%20Plan\Rev%202\Archive\2002OpexBudgetForecast_Rev2-%20For%20Us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Production\Douglas%20Forecast%20using%20Monthly%20Allocated%20Volum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etlon-data02\lon-wgp\Liverpool%20Bay\Liv%20Bay%20SubSurface%20Team\Well%20Management\Forecast\Medium%20Term%20Forecast\March%202002\Douglas%20Forecast%20using%20Monthly%20Allocated%20Volum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raa.bhpbilliton.net/Development%20and%20Planning/Documents/Operations%20Lifecycle%20Plan/Rev%203/Files/OpexModelRev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s>
    <sheetDataSet>
      <sheetData sheetId="0" refreshError="1">
        <row r="26">
          <cell r="G26">
            <v>0.3947</v>
          </cell>
        </row>
        <row r="27">
          <cell r="G27">
            <v>0.371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l Assumptions"/>
      <sheetName val="DW Adj  Well Del Forecast"/>
      <sheetName val="DW Unadj Well Del Forecast"/>
      <sheetName val="Case 0"/>
      <sheetName val="Case 1"/>
      <sheetName val="Case 2"/>
      <sheetName val="Monthly Summary"/>
      <sheetName val="Facility Assumptions"/>
      <sheetName val="D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fting Costs"/>
      <sheetName val="Lifting Costs Graph"/>
      <sheetName val="Lifting cost Opex Requirements"/>
    </sheetNames>
    <sheetDataSet>
      <sheetData sheetId="0" refreshError="1">
        <row r="3">
          <cell r="A3" t="str">
            <v>scf to cubic m</v>
          </cell>
          <cell r="B3">
            <v>2.8316999999999998E-2</v>
          </cell>
        </row>
        <row r="4">
          <cell r="B4">
            <v>5985</v>
          </cell>
        </row>
        <row r="5">
          <cell r="B5">
            <v>1.46</v>
          </cell>
        </row>
      </sheetData>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E SELECTOR"/>
      <sheetName val="INTRODUCTION"/>
      <sheetName val="PROTOCOL"/>
      <sheetName val="RESULTS LOG"/>
      <sheetName val="SAM DATA"/>
      <sheetName val="RESERVE OUTPUT"/>
      <sheetName val="PvAR (GBP)"/>
      <sheetName val="PvAR (USD)"/>
      <sheetName val="MODEL"/>
      <sheetName val="INC_P1"/>
      <sheetName val="INC_P2"/>
      <sheetName val="LB02"/>
      <sheetName val="LB03"/>
      <sheetName val="LB03SEP02"/>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W Adj  Well Del Forecast"/>
      <sheetName val="DW Unadj Well Del Forecast"/>
      <sheetName val="Case 0"/>
      <sheetName val="Case 1"/>
      <sheetName val="Case 2"/>
      <sheetName val="Monthly Summary"/>
      <sheetName val="Well Assumptions"/>
      <sheetName val="Facility Assumptions"/>
      <sheetName val="D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ingArray"/>
      <sheetName val="Rev Status"/>
      <sheetName val="Summary"/>
      <sheetName val="Do Nothing OPEX Forecast"/>
      <sheetName val="Wells Forecast"/>
      <sheetName val="All Opex Profiles"/>
      <sheetName val="G&amp;ALifeCycleEstimate Expected"/>
      <sheetName val="Pipelines"/>
      <sheetName val="PipelineOpsBudgetLifecycle"/>
      <sheetName val="WellOperationsLifecycleEstimate"/>
      <sheetName val="Fiscal Year Opex Forecast"/>
      <sheetName val="Calendar Year Opex Forecast"/>
      <sheetName val="CostDistribution 2003"/>
      <sheetName val="CostDistribution 2007"/>
      <sheetName val="CostDistribution 2011"/>
      <sheetName val="Lifting Costs Graph _Expected"/>
      <sheetName val="Lifting Costs Graph Realistic"/>
      <sheetName val="Lifting cost Opex Requirements"/>
      <sheetName val="Opex Forecast-6 monthly"/>
      <sheetName val="Lifting Costs"/>
      <sheetName val="Opex Forecast yearly"/>
      <sheetName val="ChemicalBudgetLifecycleEstimate"/>
      <sheetName val="G&amp;ALifeCycleEstimate-Tail Mods"/>
      <sheetName val="RateProfiles"/>
      <sheetName val="ESP Rental Forecast Opex"/>
      <sheetName val="Maintenance Events"/>
      <sheetName val="ESP rental calcul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5"/>
      <sheetName val="D07"/>
      <sheetName val="D08"/>
      <sheetName val="D11"/>
      <sheetName val="D12"/>
      <sheetName val="D15"/>
      <sheetName val="D16"/>
      <sheetName val="D17"/>
      <sheetName val="D18"/>
      <sheetName val="D19"/>
      <sheetName val="D20"/>
      <sheetName val="DW Field Forecast"/>
      <sheetName val="Actual Data"/>
      <sheetName val="Forecast Data"/>
      <sheetName val="Freq vs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32">
          <cell r="A232">
            <v>35095</v>
          </cell>
          <cell r="B232">
            <v>0</v>
          </cell>
          <cell r="C232">
            <v>0</v>
          </cell>
          <cell r="D232">
            <v>0</v>
          </cell>
          <cell r="E232">
            <v>0</v>
          </cell>
          <cell r="F232">
            <v>0</v>
          </cell>
          <cell r="G232">
            <v>1570.7725806451601</v>
          </cell>
          <cell r="H232">
            <v>0</v>
          </cell>
          <cell r="I232">
            <v>0</v>
          </cell>
          <cell r="J232">
            <v>0</v>
          </cell>
          <cell r="K232">
            <v>0</v>
          </cell>
          <cell r="L232">
            <v>0</v>
          </cell>
        </row>
        <row r="233">
          <cell r="A233">
            <v>35124</v>
          </cell>
          <cell r="B233">
            <v>0</v>
          </cell>
          <cell r="C233">
            <v>0</v>
          </cell>
          <cell r="D233">
            <v>260.99482758620701</v>
          </cell>
          <cell r="E233">
            <v>0</v>
          </cell>
          <cell r="F233">
            <v>0</v>
          </cell>
          <cell r="G233">
            <v>1742.3327586206901</v>
          </cell>
          <cell r="H233">
            <v>0</v>
          </cell>
          <cell r="I233">
            <v>0</v>
          </cell>
          <cell r="J233">
            <v>0</v>
          </cell>
          <cell r="K233">
            <v>0</v>
          </cell>
          <cell r="L233">
            <v>0</v>
          </cell>
        </row>
        <row r="234">
          <cell r="A234">
            <v>35155</v>
          </cell>
          <cell r="B234">
            <v>2220.4916129032304</v>
          </cell>
          <cell r="C234">
            <v>516.03258064516103</v>
          </cell>
          <cell r="D234">
            <v>2429.2512903225802</v>
          </cell>
          <cell r="E234">
            <v>0</v>
          </cell>
          <cell r="F234">
            <v>859.14870967741911</v>
          </cell>
          <cell r="G234">
            <v>2695.1187096774197</v>
          </cell>
          <cell r="H234">
            <v>0</v>
          </cell>
          <cell r="I234">
            <v>0</v>
          </cell>
          <cell r="J234">
            <v>0</v>
          </cell>
          <cell r="K234">
            <v>0</v>
          </cell>
          <cell r="L234">
            <v>0</v>
          </cell>
        </row>
        <row r="235">
          <cell r="A235">
            <v>35185</v>
          </cell>
          <cell r="B235">
            <v>4889.4626666666691</v>
          </cell>
          <cell r="C235">
            <v>3367.759</v>
          </cell>
          <cell r="D235">
            <v>5932.0146666666697</v>
          </cell>
          <cell r="E235">
            <v>1117.4463333333301</v>
          </cell>
          <cell r="F235">
            <v>7102.7163333333301</v>
          </cell>
          <cell r="G235">
            <v>3628.0630000000001</v>
          </cell>
          <cell r="H235">
            <v>0</v>
          </cell>
          <cell r="I235">
            <v>0</v>
          </cell>
          <cell r="J235">
            <v>0</v>
          </cell>
          <cell r="K235">
            <v>0</v>
          </cell>
          <cell r="L235">
            <v>0</v>
          </cell>
        </row>
        <row r="236">
          <cell r="A236">
            <v>35216</v>
          </cell>
          <cell r="B236">
            <v>2471.8951612903202</v>
          </cell>
          <cell r="C236">
            <v>1912.6241935483899</v>
          </cell>
          <cell r="D236">
            <v>4094.6941935483906</v>
          </cell>
          <cell r="E236">
            <v>982.24516129032315</v>
          </cell>
          <cell r="F236">
            <v>5776.7667741935502</v>
          </cell>
          <cell r="G236">
            <v>861.80193548387103</v>
          </cell>
          <cell r="H236">
            <v>0</v>
          </cell>
          <cell r="I236">
            <v>0</v>
          </cell>
          <cell r="J236">
            <v>0</v>
          </cell>
          <cell r="K236">
            <v>0</v>
          </cell>
          <cell r="L236">
            <v>0</v>
          </cell>
        </row>
        <row r="237">
          <cell r="A237">
            <v>35246</v>
          </cell>
          <cell r="B237">
            <v>3021.5373333333296</v>
          </cell>
          <cell r="C237">
            <v>1336.4453333333302</v>
          </cell>
          <cell r="D237">
            <v>2127.3986666666701</v>
          </cell>
          <cell r="E237">
            <v>1476.2916666666702</v>
          </cell>
          <cell r="F237">
            <v>1588.4826666666702</v>
          </cell>
          <cell r="G237">
            <v>110.529333333333</v>
          </cell>
          <cell r="H237">
            <v>0</v>
          </cell>
          <cell r="I237">
            <v>0</v>
          </cell>
          <cell r="J237">
            <v>0</v>
          </cell>
          <cell r="K237">
            <v>0</v>
          </cell>
          <cell r="L237">
            <v>0</v>
          </cell>
        </row>
        <row r="238">
          <cell r="A238">
            <v>35277</v>
          </cell>
          <cell r="B238">
            <v>337.60483870967704</v>
          </cell>
          <cell r="C238">
            <v>390.74387096774205</v>
          </cell>
          <cell r="D238">
            <v>0</v>
          </cell>
          <cell r="E238">
            <v>760.82225806451606</v>
          </cell>
          <cell r="F238">
            <v>1257.4361290322602</v>
          </cell>
          <cell r="G238">
            <v>0</v>
          </cell>
          <cell r="H238">
            <v>0</v>
          </cell>
          <cell r="I238">
            <v>0</v>
          </cell>
          <cell r="J238">
            <v>0</v>
          </cell>
          <cell r="K238">
            <v>0</v>
          </cell>
          <cell r="L238">
            <v>0</v>
          </cell>
        </row>
        <row r="239">
          <cell r="A239">
            <v>35308</v>
          </cell>
          <cell r="B239">
            <v>3027.1532258064503</v>
          </cell>
          <cell r="C239">
            <v>4079.9441935483906</v>
          </cell>
          <cell r="D239">
            <v>92.1064516129032</v>
          </cell>
          <cell r="E239">
            <v>2232.1864516128999</v>
          </cell>
          <cell r="F239">
            <v>2152.9135483871</v>
          </cell>
          <cell r="G239">
            <v>0</v>
          </cell>
          <cell r="H239">
            <v>0</v>
          </cell>
          <cell r="I239">
            <v>0</v>
          </cell>
          <cell r="J239">
            <v>0</v>
          </cell>
          <cell r="K239">
            <v>0</v>
          </cell>
          <cell r="L239">
            <v>0</v>
          </cell>
        </row>
        <row r="240">
          <cell r="A240">
            <v>35338</v>
          </cell>
          <cell r="B240">
            <v>5957.39</v>
          </cell>
          <cell r="C240">
            <v>3838.665</v>
          </cell>
          <cell r="D240">
            <v>458.64933333333306</v>
          </cell>
          <cell r="E240">
            <v>1817.2336666666702</v>
          </cell>
          <cell r="F240">
            <v>620.16433333333305</v>
          </cell>
          <cell r="G240">
            <v>0</v>
          </cell>
          <cell r="H240">
            <v>0</v>
          </cell>
          <cell r="I240">
            <v>0</v>
          </cell>
          <cell r="J240">
            <v>0</v>
          </cell>
          <cell r="K240">
            <v>0</v>
          </cell>
          <cell r="L240">
            <v>0</v>
          </cell>
        </row>
        <row r="241">
          <cell r="A241">
            <v>35369</v>
          </cell>
          <cell r="B241">
            <v>7332.0403225806504</v>
          </cell>
          <cell r="C241">
            <v>4410.5396774193505</v>
          </cell>
          <cell r="D241">
            <v>8039.07</v>
          </cell>
          <cell r="E241">
            <v>2478.2064516128999</v>
          </cell>
          <cell r="F241">
            <v>6764.9332258064505</v>
          </cell>
          <cell r="G241">
            <v>5684.66612903226</v>
          </cell>
          <cell r="H241">
            <v>0</v>
          </cell>
          <cell r="I241">
            <v>0</v>
          </cell>
          <cell r="J241">
            <v>0</v>
          </cell>
          <cell r="K241">
            <v>0</v>
          </cell>
          <cell r="L241">
            <v>0</v>
          </cell>
        </row>
        <row r="242">
          <cell r="A242">
            <v>35399</v>
          </cell>
          <cell r="B242">
            <v>6309.0003333333307</v>
          </cell>
          <cell r="C242">
            <v>3906.864</v>
          </cell>
          <cell r="D242">
            <v>6615.2973333333302</v>
          </cell>
          <cell r="E242">
            <v>3430.6403333333296</v>
          </cell>
          <cell r="F242">
            <v>7912.8753333333307</v>
          </cell>
          <cell r="G242">
            <v>7806.3883333333306</v>
          </cell>
          <cell r="H242">
            <v>0</v>
          </cell>
          <cell r="I242">
            <v>0</v>
          </cell>
          <cell r="J242">
            <v>0</v>
          </cell>
          <cell r="K242">
            <v>0</v>
          </cell>
          <cell r="L242">
            <v>0</v>
          </cell>
        </row>
        <row r="243">
          <cell r="A243">
            <v>35430</v>
          </cell>
          <cell r="B243">
            <v>2949.3322580645158</v>
          </cell>
          <cell r="C243">
            <v>4255.3045161290302</v>
          </cell>
          <cell r="D243">
            <v>7292.4141935483913</v>
          </cell>
          <cell r="E243">
            <v>2306.8819354838752</v>
          </cell>
          <cell r="F243">
            <v>4999.4729032258101</v>
          </cell>
          <cell r="G243">
            <v>5520.1061290322623</v>
          </cell>
          <cell r="H243">
            <v>0</v>
          </cell>
          <cell r="I243">
            <v>0</v>
          </cell>
          <cell r="J243">
            <v>0</v>
          </cell>
          <cell r="K243">
            <v>0</v>
          </cell>
          <cell r="L243">
            <v>0</v>
          </cell>
        </row>
        <row r="244">
          <cell r="A244">
            <v>35461</v>
          </cell>
          <cell r="B244">
            <v>2.5251612903225769</v>
          </cell>
          <cell r="C244">
            <v>4073.6961290322602</v>
          </cell>
          <cell r="D244">
            <v>5060.2012903225823</v>
          </cell>
          <cell r="E244">
            <v>2647.2351612903203</v>
          </cell>
          <cell r="F244">
            <v>7015.9390322580603</v>
          </cell>
          <cell r="G244">
            <v>4119.5506451612919</v>
          </cell>
          <cell r="H244">
            <v>0</v>
          </cell>
          <cell r="I244">
            <v>0</v>
          </cell>
          <cell r="J244">
            <v>0</v>
          </cell>
          <cell r="K244">
            <v>0</v>
          </cell>
          <cell r="L244">
            <v>0</v>
          </cell>
        </row>
        <row r="245">
          <cell r="A245">
            <v>35489</v>
          </cell>
          <cell r="B245">
            <v>0</v>
          </cell>
          <cell r="C245">
            <v>3729.5875000000001</v>
          </cell>
          <cell r="D245">
            <v>6288.6485714285691</v>
          </cell>
          <cell r="E245">
            <v>3098.9646428571405</v>
          </cell>
          <cell r="F245">
            <v>7353.3796428571432</v>
          </cell>
          <cell r="G245">
            <v>4610.2046428571457</v>
          </cell>
          <cell r="H245">
            <v>4902.9225000000006</v>
          </cell>
          <cell r="I245">
            <v>0</v>
          </cell>
          <cell r="J245">
            <v>0</v>
          </cell>
          <cell r="K245">
            <v>0</v>
          </cell>
          <cell r="L245">
            <v>0</v>
          </cell>
        </row>
        <row r="246">
          <cell r="A246">
            <v>35520</v>
          </cell>
          <cell r="B246">
            <v>0</v>
          </cell>
          <cell r="C246">
            <v>4302.2948387096803</v>
          </cell>
          <cell r="D246">
            <v>8491.1387096774179</v>
          </cell>
          <cell r="E246">
            <v>3637.2709677419389</v>
          </cell>
          <cell r="F246">
            <v>8787.9832258064562</v>
          </cell>
          <cell r="G246">
            <v>1775.0441935483846</v>
          </cell>
          <cell r="H246">
            <v>7702.6303225806505</v>
          </cell>
          <cell r="I246">
            <v>739.08741935483897</v>
          </cell>
          <cell r="J246">
            <v>0</v>
          </cell>
          <cell r="K246">
            <v>0</v>
          </cell>
          <cell r="L246">
            <v>0</v>
          </cell>
        </row>
        <row r="247">
          <cell r="A247">
            <v>35550</v>
          </cell>
          <cell r="B247">
            <v>2090.0043333333333</v>
          </cell>
          <cell r="C247">
            <v>0</v>
          </cell>
          <cell r="D247">
            <v>11903.437666666699</v>
          </cell>
          <cell r="E247">
            <v>4146.3549999999968</v>
          </cell>
          <cell r="F247">
            <v>10182.555000000033</v>
          </cell>
          <cell r="G247">
            <v>921.67699999999968</v>
          </cell>
          <cell r="H247">
            <v>13799.230666666699</v>
          </cell>
          <cell r="I247">
            <v>6234.3050000000003</v>
          </cell>
          <cell r="J247">
            <v>0</v>
          </cell>
          <cell r="K247">
            <v>0</v>
          </cell>
          <cell r="L247">
            <v>0</v>
          </cell>
        </row>
        <row r="248">
          <cell r="A248">
            <v>35581</v>
          </cell>
          <cell r="B248">
            <v>8683.8874193548345</v>
          </cell>
          <cell r="C248">
            <v>0</v>
          </cell>
          <cell r="D248">
            <v>11321.165483870956</v>
          </cell>
          <cell r="E248">
            <v>4532.1132258064517</v>
          </cell>
          <cell r="F248">
            <v>2422.9435483871011</v>
          </cell>
          <cell r="G248">
            <v>5974.3809677419404</v>
          </cell>
          <cell r="H248">
            <v>13871.021935483901</v>
          </cell>
          <cell r="I248">
            <v>5331.1258064516105</v>
          </cell>
          <cell r="J248">
            <v>0</v>
          </cell>
          <cell r="K248">
            <v>0</v>
          </cell>
          <cell r="L248">
            <v>0</v>
          </cell>
        </row>
        <row r="249">
          <cell r="A249">
            <v>35611</v>
          </cell>
          <cell r="B249">
            <v>7810.8993333333301</v>
          </cell>
          <cell r="C249">
            <v>0</v>
          </cell>
          <cell r="D249">
            <v>10028.129333333334</v>
          </cell>
          <cell r="E249">
            <v>4083.8190000000036</v>
          </cell>
          <cell r="F249">
            <v>1969.4126666666634</v>
          </cell>
          <cell r="G249">
            <v>5369.8146666666635</v>
          </cell>
          <cell r="H249">
            <v>10954.368</v>
          </cell>
          <cell r="I249">
            <v>3657.0880000000002</v>
          </cell>
          <cell r="J249">
            <v>0</v>
          </cell>
          <cell r="K249">
            <v>0</v>
          </cell>
          <cell r="L249">
            <v>0</v>
          </cell>
        </row>
        <row r="250">
          <cell r="A250">
            <v>35642</v>
          </cell>
          <cell r="B250">
            <v>2009.817741935479</v>
          </cell>
          <cell r="C250">
            <v>0</v>
          </cell>
          <cell r="D250">
            <v>7144.768387096773</v>
          </cell>
          <cell r="E250">
            <v>4459.5629032258039</v>
          </cell>
          <cell r="F250">
            <v>2103.3577419354874</v>
          </cell>
          <cell r="G250">
            <v>6066.2996774193598</v>
          </cell>
          <cell r="H250">
            <v>12004.7038709677</v>
          </cell>
          <cell r="I250">
            <v>6437.5016129032219</v>
          </cell>
          <cell r="J250">
            <v>0</v>
          </cell>
          <cell r="K250">
            <v>0</v>
          </cell>
          <cell r="L250">
            <v>0</v>
          </cell>
        </row>
        <row r="251">
          <cell r="A251">
            <v>35673</v>
          </cell>
          <cell r="B251">
            <v>2413.5416129032269</v>
          </cell>
          <cell r="C251">
            <v>0</v>
          </cell>
          <cell r="D251">
            <v>3361.2345161290364</v>
          </cell>
          <cell r="E251">
            <v>3323.4919354838712</v>
          </cell>
          <cell r="F251">
            <v>1598.042903225806</v>
          </cell>
          <cell r="G251">
            <v>595.14548387096806</v>
          </cell>
          <cell r="H251">
            <v>10190.808064516101</v>
          </cell>
          <cell r="I251">
            <v>4944.4425806451609</v>
          </cell>
          <cell r="J251">
            <v>0</v>
          </cell>
          <cell r="K251">
            <v>0</v>
          </cell>
          <cell r="L251">
            <v>0</v>
          </cell>
        </row>
        <row r="252">
          <cell r="A252">
            <v>35703</v>
          </cell>
          <cell r="B252">
            <v>4047.1686666666674</v>
          </cell>
          <cell r="C252">
            <v>0</v>
          </cell>
          <cell r="D252">
            <v>7793.2500000000009</v>
          </cell>
          <cell r="E252">
            <v>2921.8729999999964</v>
          </cell>
          <cell r="F252">
            <v>191.98966666666698</v>
          </cell>
          <cell r="G252">
            <v>0</v>
          </cell>
          <cell r="H252">
            <v>9139.238333333331</v>
          </cell>
          <cell r="I252">
            <v>1167.1116666666667</v>
          </cell>
          <cell r="J252">
            <v>0</v>
          </cell>
          <cell r="K252">
            <v>0</v>
          </cell>
          <cell r="L252">
            <v>0</v>
          </cell>
        </row>
        <row r="253">
          <cell r="A253">
            <v>35734</v>
          </cell>
          <cell r="B253">
            <v>6279.1838709677404</v>
          </cell>
          <cell r="C253">
            <v>0</v>
          </cell>
          <cell r="D253">
            <v>12570.16774193544</v>
          </cell>
          <cell r="E253">
            <v>4596.6167741935442</v>
          </cell>
          <cell r="F253">
            <v>124.092903225806</v>
          </cell>
          <cell r="G253">
            <v>0</v>
          </cell>
          <cell r="H253">
            <v>11282.66419354836</v>
          </cell>
          <cell r="I253">
            <v>0</v>
          </cell>
          <cell r="J253">
            <v>0</v>
          </cell>
          <cell r="K253">
            <v>0</v>
          </cell>
          <cell r="L253">
            <v>0</v>
          </cell>
        </row>
        <row r="254">
          <cell r="A254">
            <v>35764</v>
          </cell>
          <cell r="B254">
            <v>6960.4566666666688</v>
          </cell>
          <cell r="C254">
            <v>0</v>
          </cell>
          <cell r="D254">
            <v>13100.714999999971</v>
          </cell>
          <cell r="E254">
            <v>4780.0259999999971</v>
          </cell>
          <cell r="F254">
            <v>0</v>
          </cell>
          <cell r="G254">
            <v>0</v>
          </cell>
          <cell r="H254">
            <v>15813.726666666633</v>
          </cell>
          <cell r="I254">
            <v>283.3829999999997</v>
          </cell>
          <cell r="J254">
            <v>0</v>
          </cell>
          <cell r="K254">
            <v>0</v>
          </cell>
          <cell r="L254">
            <v>0</v>
          </cell>
        </row>
        <row r="255">
          <cell r="A255">
            <v>35795</v>
          </cell>
          <cell r="B255">
            <v>7057.9367741935494</v>
          </cell>
          <cell r="C255">
            <v>0</v>
          </cell>
          <cell r="D255">
            <v>12320.403548387099</v>
          </cell>
          <cell r="E255">
            <v>4321.3693548387091</v>
          </cell>
          <cell r="F255">
            <v>5391.1832258064505</v>
          </cell>
          <cell r="G255">
            <v>0</v>
          </cell>
          <cell r="H255">
            <v>15107.06838709681</v>
          </cell>
          <cell r="I255">
            <v>1427.8387096774243</v>
          </cell>
          <cell r="J255">
            <v>0</v>
          </cell>
          <cell r="K255">
            <v>0</v>
          </cell>
          <cell r="L255">
            <v>0</v>
          </cell>
        </row>
        <row r="256">
          <cell r="A256">
            <v>35826</v>
          </cell>
          <cell r="B256">
            <v>5551.2293548387106</v>
          </cell>
          <cell r="C256">
            <v>0</v>
          </cell>
          <cell r="D256">
            <v>10799.541290322581</v>
          </cell>
          <cell r="E256">
            <v>3488.1367741935469</v>
          </cell>
          <cell r="F256">
            <v>11756.229354838699</v>
          </cell>
          <cell r="G256">
            <v>0</v>
          </cell>
          <cell r="H256">
            <v>12445.57806451609</v>
          </cell>
          <cell r="I256">
            <v>269.19129032258041</v>
          </cell>
          <cell r="J256">
            <v>0</v>
          </cell>
          <cell r="K256">
            <v>0</v>
          </cell>
          <cell r="L256">
            <v>0</v>
          </cell>
        </row>
        <row r="257">
          <cell r="A257">
            <v>35854</v>
          </cell>
          <cell r="B257">
            <v>4564.6553571428603</v>
          </cell>
          <cell r="C257">
            <v>0</v>
          </cell>
          <cell r="D257">
            <v>5840.2889285714309</v>
          </cell>
          <cell r="E257">
            <v>3883.8814285714302</v>
          </cell>
          <cell r="F257">
            <v>13356.5689285714</v>
          </cell>
          <cell r="G257">
            <v>0</v>
          </cell>
          <cell r="H257">
            <v>14133.935000000041</v>
          </cell>
          <cell r="I257">
            <v>92.568928571428543</v>
          </cell>
          <cell r="J257">
            <v>0</v>
          </cell>
          <cell r="K257">
            <v>0</v>
          </cell>
          <cell r="L257">
            <v>0</v>
          </cell>
        </row>
        <row r="258">
          <cell r="A258">
            <v>35885</v>
          </cell>
          <cell r="B258">
            <v>0</v>
          </cell>
          <cell r="C258">
            <v>0</v>
          </cell>
          <cell r="D258">
            <v>194.09870967741981</v>
          </cell>
          <cell r="E258">
            <v>3624.6396774193549</v>
          </cell>
          <cell r="F258">
            <v>12584.463548387101</v>
          </cell>
          <cell r="G258">
            <v>0</v>
          </cell>
          <cell r="H258">
            <v>13247.946774193511</v>
          </cell>
          <cell r="I258">
            <v>0</v>
          </cell>
          <cell r="J258">
            <v>0</v>
          </cell>
          <cell r="K258">
            <v>0</v>
          </cell>
          <cell r="L258">
            <v>0</v>
          </cell>
        </row>
        <row r="259">
          <cell r="A259">
            <v>35915</v>
          </cell>
          <cell r="B259">
            <v>0</v>
          </cell>
          <cell r="C259">
            <v>1511.809</v>
          </cell>
          <cell r="D259">
            <v>6421.8306666666676</v>
          </cell>
          <cell r="E259">
            <v>2185.0156666666703</v>
          </cell>
          <cell r="F259">
            <v>12552.954666666667</v>
          </cell>
          <cell r="G259">
            <v>448.81566666666703</v>
          </cell>
          <cell r="H259">
            <v>14372.904666666669</v>
          </cell>
          <cell r="I259">
            <v>0</v>
          </cell>
          <cell r="J259">
            <v>0</v>
          </cell>
          <cell r="K259">
            <v>0</v>
          </cell>
          <cell r="L259">
            <v>0</v>
          </cell>
        </row>
        <row r="260">
          <cell r="A260">
            <v>35946</v>
          </cell>
          <cell r="B260">
            <v>3835.5983870967711</v>
          </cell>
          <cell r="C260">
            <v>7496.09741935484</v>
          </cell>
          <cell r="D260">
            <v>11112.092580645161</v>
          </cell>
          <cell r="E260">
            <v>0</v>
          </cell>
          <cell r="F260">
            <v>6564.6396774193563</v>
          </cell>
          <cell r="G260">
            <v>6492.353548387091</v>
          </cell>
          <cell r="H260">
            <v>13018.604193548392</v>
          </cell>
          <cell r="I260">
            <v>0</v>
          </cell>
          <cell r="J260">
            <v>0</v>
          </cell>
          <cell r="K260">
            <v>0</v>
          </cell>
          <cell r="L260">
            <v>0</v>
          </cell>
        </row>
        <row r="261">
          <cell r="A261">
            <v>35976</v>
          </cell>
          <cell r="B261">
            <v>6365.351999999999</v>
          </cell>
          <cell r="C261">
            <v>5657.1193333333304</v>
          </cell>
          <cell r="D261">
            <v>6467.3626666666696</v>
          </cell>
          <cell r="E261">
            <v>0</v>
          </cell>
          <cell r="F261">
            <v>4552.6163333333297</v>
          </cell>
          <cell r="G261">
            <v>5951.2036666666709</v>
          </cell>
          <cell r="H261">
            <v>8581.1893333333301</v>
          </cell>
          <cell r="I261">
            <v>56.452000000000027</v>
          </cell>
          <cell r="J261">
            <v>0</v>
          </cell>
          <cell r="K261">
            <v>0</v>
          </cell>
          <cell r="L261">
            <v>0</v>
          </cell>
        </row>
        <row r="262">
          <cell r="A262">
            <v>36007</v>
          </cell>
          <cell r="B262">
            <v>950.48419354838711</v>
          </cell>
          <cell r="C262">
            <v>739.09741935483896</v>
          </cell>
          <cell r="D262">
            <v>1203.601290322581</v>
          </cell>
          <cell r="E262">
            <v>0</v>
          </cell>
          <cell r="F262">
            <v>0</v>
          </cell>
          <cell r="G262">
            <v>876.00258064516106</v>
          </cell>
          <cell r="H262">
            <v>1280.42935483871</v>
          </cell>
          <cell r="I262">
            <v>961.36967741935484</v>
          </cell>
          <cell r="J262">
            <v>0</v>
          </cell>
          <cell r="K262">
            <v>0</v>
          </cell>
          <cell r="L262">
            <v>0</v>
          </cell>
        </row>
        <row r="263">
          <cell r="A263">
            <v>36038</v>
          </cell>
          <cell r="B263">
            <v>8961.4922580645107</v>
          </cell>
          <cell r="C263">
            <v>6142.0380645161267</v>
          </cell>
          <cell r="D263">
            <v>10149.23354838709</v>
          </cell>
          <cell r="E263">
            <v>0</v>
          </cell>
          <cell r="F263">
            <v>5920.5525806451606</v>
          </cell>
          <cell r="G263">
            <v>8774.9412903225821</v>
          </cell>
          <cell r="H263">
            <v>5839.8370967742012</v>
          </cell>
          <cell r="I263">
            <v>6645.5819354838713</v>
          </cell>
          <cell r="J263">
            <v>0</v>
          </cell>
          <cell r="K263">
            <v>0</v>
          </cell>
          <cell r="L263">
            <v>0</v>
          </cell>
        </row>
        <row r="264">
          <cell r="A264">
            <v>36068</v>
          </cell>
          <cell r="B264">
            <v>8682.7553333333308</v>
          </cell>
          <cell r="C264">
            <v>6712.8256666666666</v>
          </cell>
          <cell r="D264">
            <v>9007.38533333333</v>
          </cell>
          <cell r="E264">
            <v>14.276333333333366</v>
          </cell>
          <cell r="F264">
            <v>9662.5789999999997</v>
          </cell>
          <cell r="G264">
            <v>8458.5169999999998</v>
          </cell>
          <cell r="H264">
            <v>0</v>
          </cell>
          <cell r="I264">
            <v>5941.3209999999999</v>
          </cell>
          <cell r="J264">
            <v>0</v>
          </cell>
          <cell r="K264">
            <v>0</v>
          </cell>
          <cell r="L264">
            <v>0</v>
          </cell>
        </row>
        <row r="265">
          <cell r="A265">
            <v>36099</v>
          </cell>
          <cell r="B265">
            <v>7192.03322580645</v>
          </cell>
          <cell r="C265">
            <v>9063.8503225806489</v>
          </cell>
          <cell r="D265">
            <v>3386.59935483871</v>
          </cell>
          <cell r="E265">
            <v>1507.3338709677375</v>
          </cell>
          <cell r="F265">
            <v>747.17032258064501</v>
          </cell>
          <cell r="G265">
            <v>7250.1145161290306</v>
          </cell>
          <cell r="H265">
            <v>0</v>
          </cell>
          <cell r="I265">
            <v>6765.1180645161303</v>
          </cell>
          <cell r="J265">
            <v>0</v>
          </cell>
          <cell r="K265">
            <v>0</v>
          </cell>
          <cell r="L265">
            <v>0</v>
          </cell>
        </row>
        <row r="266">
          <cell r="A266">
            <v>36129</v>
          </cell>
          <cell r="B266">
            <v>1379.6210000000001</v>
          </cell>
          <cell r="C266">
            <v>8872.9683333333305</v>
          </cell>
          <cell r="D266">
            <v>0</v>
          </cell>
          <cell r="E266">
            <v>0</v>
          </cell>
          <cell r="F266">
            <v>688.70900000000051</v>
          </cell>
          <cell r="G266">
            <v>9062.2043333333404</v>
          </cell>
          <cell r="H266">
            <v>0</v>
          </cell>
          <cell r="I266">
            <v>8582.6610000000001</v>
          </cell>
          <cell r="J266">
            <v>0</v>
          </cell>
          <cell r="K266">
            <v>0</v>
          </cell>
          <cell r="L266">
            <v>0</v>
          </cell>
        </row>
        <row r="267">
          <cell r="A267">
            <v>36160</v>
          </cell>
          <cell r="B267">
            <v>0</v>
          </cell>
          <cell r="C267">
            <v>9492.7380645161265</v>
          </cell>
          <cell r="D267">
            <v>0</v>
          </cell>
          <cell r="E267">
            <v>0</v>
          </cell>
          <cell r="F267">
            <v>1015.87774193548</v>
          </cell>
          <cell r="G267">
            <v>10319.59064516129</v>
          </cell>
          <cell r="H267">
            <v>0</v>
          </cell>
          <cell r="I267">
            <v>7824.8412903225808</v>
          </cell>
          <cell r="J267">
            <v>0</v>
          </cell>
          <cell r="K267">
            <v>0</v>
          </cell>
          <cell r="L267">
            <v>0</v>
          </cell>
        </row>
        <row r="268">
          <cell r="A268">
            <v>36191</v>
          </cell>
          <cell r="B268">
            <v>1924.3822580645169</v>
          </cell>
          <cell r="C268">
            <v>8173.0832258064538</v>
          </cell>
          <cell r="D268">
            <v>0</v>
          </cell>
          <cell r="E268">
            <v>0</v>
          </cell>
          <cell r="F268">
            <v>4233.769354838706</v>
          </cell>
          <cell r="G268">
            <v>8212.3258064516103</v>
          </cell>
          <cell r="H268">
            <v>0</v>
          </cell>
          <cell r="I268">
            <v>5853.3583870967705</v>
          </cell>
          <cell r="J268">
            <v>0</v>
          </cell>
          <cell r="K268">
            <v>0</v>
          </cell>
          <cell r="L268">
            <v>0</v>
          </cell>
        </row>
        <row r="269">
          <cell r="A269">
            <v>36219</v>
          </cell>
          <cell r="B269">
            <v>7326.8310714285799</v>
          </cell>
          <cell r="C269">
            <v>7806.615357142854</v>
          </cell>
          <cell r="D269">
            <v>7220.6696428571404</v>
          </cell>
          <cell r="E269">
            <v>0</v>
          </cell>
          <cell r="F269">
            <v>8405.67107142858</v>
          </cell>
          <cell r="G269">
            <v>0</v>
          </cell>
          <cell r="H269">
            <v>4120.1792857142846</v>
          </cell>
          <cell r="I269">
            <v>5411.6375000000007</v>
          </cell>
          <cell r="J269">
            <v>0</v>
          </cell>
          <cell r="K269">
            <v>0</v>
          </cell>
          <cell r="L269">
            <v>0</v>
          </cell>
        </row>
        <row r="270">
          <cell r="A270">
            <v>36250</v>
          </cell>
          <cell r="B270">
            <v>1391.7712903225811</v>
          </cell>
          <cell r="C270">
            <v>1316.3754838709726</v>
          </cell>
          <cell r="D270">
            <v>1329.8764516129031</v>
          </cell>
          <cell r="E270">
            <v>0</v>
          </cell>
          <cell r="F270">
            <v>1685.3880645161321</v>
          </cell>
          <cell r="G270">
            <v>0</v>
          </cell>
          <cell r="H270">
            <v>1588.0822580645201</v>
          </cell>
          <cell r="I270">
            <v>992.82774193548403</v>
          </cell>
          <cell r="J270">
            <v>0</v>
          </cell>
          <cell r="K270">
            <v>0</v>
          </cell>
          <cell r="L270">
            <v>0</v>
          </cell>
        </row>
        <row r="271">
          <cell r="A271">
            <v>36280</v>
          </cell>
          <cell r="B271">
            <v>38.927999999999997</v>
          </cell>
          <cell r="C271">
            <v>1055.7329999999999</v>
          </cell>
          <cell r="D271">
            <v>304.27800000000002</v>
          </cell>
          <cell r="E271">
            <v>0</v>
          </cell>
          <cell r="F271">
            <v>1200.6353333333368</v>
          </cell>
          <cell r="G271">
            <v>0</v>
          </cell>
          <cell r="H271">
            <v>314.28333333333302</v>
          </cell>
          <cell r="I271">
            <v>0</v>
          </cell>
          <cell r="J271">
            <v>0</v>
          </cell>
          <cell r="K271">
            <v>0</v>
          </cell>
          <cell r="L271">
            <v>0</v>
          </cell>
        </row>
        <row r="272">
          <cell r="A272">
            <v>36311</v>
          </cell>
          <cell r="B272">
            <v>0</v>
          </cell>
          <cell r="C272">
            <v>6952.203548387095</v>
          </cell>
          <cell r="D272">
            <v>296.59612903225758</v>
          </cell>
          <cell r="E272">
            <v>0</v>
          </cell>
          <cell r="F272">
            <v>6045.8409677419349</v>
          </cell>
          <cell r="G272">
            <v>0</v>
          </cell>
          <cell r="H272">
            <v>5849.0499999999975</v>
          </cell>
          <cell r="I272">
            <v>0</v>
          </cell>
          <cell r="J272">
            <v>8198.4077419354799</v>
          </cell>
          <cell r="K272">
            <v>0</v>
          </cell>
          <cell r="L272">
            <v>0</v>
          </cell>
        </row>
        <row r="273">
          <cell r="A273">
            <v>36341</v>
          </cell>
          <cell r="B273">
            <v>3983.0423333333406</v>
          </cell>
          <cell r="C273">
            <v>8276.0800000000036</v>
          </cell>
          <cell r="D273">
            <v>4568.3763333333327</v>
          </cell>
          <cell r="E273">
            <v>0</v>
          </cell>
          <cell r="F273">
            <v>8383.3959999999988</v>
          </cell>
          <cell r="G273">
            <v>0</v>
          </cell>
          <cell r="H273">
            <v>4999.2646666666597</v>
          </cell>
          <cell r="I273">
            <v>0</v>
          </cell>
          <cell r="J273">
            <v>110.968</v>
          </cell>
          <cell r="K273">
            <v>0</v>
          </cell>
          <cell r="L273">
            <v>0</v>
          </cell>
        </row>
        <row r="274">
          <cell r="A274">
            <v>36372</v>
          </cell>
          <cell r="B274">
            <v>4608.8261290322607</v>
          </cell>
          <cell r="C274">
            <v>7495.032580645161</v>
          </cell>
          <cell r="D274">
            <v>8052.3277419354908</v>
          </cell>
          <cell r="E274">
            <v>0</v>
          </cell>
          <cell r="F274">
            <v>0</v>
          </cell>
          <cell r="G274">
            <v>4967.1374193548399</v>
          </cell>
          <cell r="H274">
            <v>7730.6506451612895</v>
          </cell>
          <cell r="I274">
            <v>1069.170322580645</v>
          </cell>
          <cell r="J274">
            <v>0</v>
          </cell>
          <cell r="K274">
            <v>0</v>
          </cell>
          <cell r="L274">
            <v>0</v>
          </cell>
        </row>
        <row r="275">
          <cell r="A275">
            <v>36403</v>
          </cell>
          <cell r="B275">
            <v>6132.3616129032198</v>
          </cell>
          <cell r="C275">
            <v>7202.2400000000007</v>
          </cell>
          <cell r="D275">
            <v>7864.1725806451605</v>
          </cell>
          <cell r="E275">
            <v>0</v>
          </cell>
          <cell r="F275">
            <v>264.848064516129</v>
          </cell>
          <cell r="G275">
            <v>9229.8793548387112</v>
          </cell>
          <cell r="H275">
            <v>8802.7319354838692</v>
          </cell>
          <cell r="I275">
            <v>729.50967741935506</v>
          </cell>
          <cell r="J275">
            <v>0</v>
          </cell>
          <cell r="K275">
            <v>0</v>
          </cell>
          <cell r="L275">
            <v>0</v>
          </cell>
        </row>
        <row r="276">
          <cell r="A276">
            <v>36433</v>
          </cell>
          <cell r="B276">
            <v>5535.21</v>
          </cell>
          <cell r="C276">
            <v>4781.1573333333372</v>
          </cell>
          <cell r="D276">
            <v>5602.0930000000008</v>
          </cell>
          <cell r="E276">
            <v>0</v>
          </cell>
          <cell r="F276">
            <v>778.79733333333309</v>
          </cell>
          <cell r="G276">
            <v>6442.8640000000005</v>
          </cell>
          <cell r="H276">
            <v>6487.7473333333401</v>
          </cell>
          <cell r="I276">
            <v>0</v>
          </cell>
          <cell r="J276">
            <v>8.7576666666666707</v>
          </cell>
          <cell r="K276">
            <v>0</v>
          </cell>
          <cell r="L276">
            <v>0</v>
          </cell>
        </row>
        <row r="277">
          <cell r="A277">
            <v>36464</v>
          </cell>
          <cell r="B277">
            <v>8302.16</v>
          </cell>
          <cell r="C277">
            <v>6667.9387096774199</v>
          </cell>
          <cell r="D277">
            <v>8530.188709677419</v>
          </cell>
          <cell r="E277">
            <v>0</v>
          </cell>
          <cell r="F277">
            <v>0</v>
          </cell>
          <cell r="G277">
            <v>9718.6477419354887</v>
          </cell>
          <cell r="H277">
            <v>9572.2461290322608</v>
          </cell>
          <cell r="I277">
            <v>0</v>
          </cell>
          <cell r="J277">
            <v>395.03709677419408</v>
          </cell>
          <cell r="K277">
            <v>0</v>
          </cell>
          <cell r="L277">
            <v>0</v>
          </cell>
        </row>
        <row r="278">
          <cell r="A278">
            <v>36494</v>
          </cell>
          <cell r="B278">
            <v>7827.6366666666599</v>
          </cell>
          <cell r="C278">
            <v>6490.4743333333299</v>
          </cell>
          <cell r="D278">
            <v>8262.2296666666698</v>
          </cell>
          <cell r="E278">
            <v>0</v>
          </cell>
          <cell r="F278">
            <v>0</v>
          </cell>
          <cell r="G278">
            <v>9063.6059999999998</v>
          </cell>
          <cell r="H278">
            <v>9073.4030000000002</v>
          </cell>
          <cell r="I278">
            <v>0</v>
          </cell>
          <cell r="J278">
            <v>0</v>
          </cell>
          <cell r="K278">
            <v>0</v>
          </cell>
          <cell r="L278">
            <v>0</v>
          </cell>
        </row>
        <row r="279">
          <cell r="A279">
            <v>36525</v>
          </cell>
          <cell r="B279">
            <v>7732.4129032258097</v>
          </cell>
          <cell r="C279">
            <v>7167.405483870969</v>
          </cell>
          <cell r="D279">
            <v>7886.4390322580603</v>
          </cell>
          <cell r="E279">
            <v>0</v>
          </cell>
          <cell r="F279">
            <v>0</v>
          </cell>
          <cell r="G279">
            <v>8837.5538709677421</v>
          </cell>
          <cell r="H279">
            <v>8536.9648387096804</v>
          </cell>
          <cell r="I279">
            <v>1763.6741935483883</v>
          </cell>
          <cell r="J279">
            <v>0</v>
          </cell>
          <cell r="K279">
            <v>0</v>
          </cell>
          <cell r="L279">
            <v>0</v>
          </cell>
        </row>
        <row r="280">
          <cell r="A280">
            <v>36556</v>
          </cell>
          <cell r="B280">
            <v>7043.3787096774195</v>
          </cell>
          <cell r="C280">
            <v>5672.081612903221</v>
          </cell>
          <cell r="D280">
            <v>6216.9216129032302</v>
          </cell>
          <cell r="E280">
            <v>1.19354838709677</v>
          </cell>
          <cell r="F280">
            <v>0</v>
          </cell>
          <cell r="G280">
            <v>7479.9590322580698</v>
          </cell>
          <cell r="H280">
            <v>7710.0467741935499</v>
          </cell>
          <cell r="I280">
            <v>3096.2090322580598</v>
          </cell>
          <cell r="J280">
            <v>0</v>
          </cell>
          <cell r="K280">
            <v>0</v>
          </cell>
          <cell r="L280">
            <v>0</v>
          </cell>
        </row>
        <row r="281">
          <cell r="A281">
            <v>36585</v>
          </cell>
          <cell r="B281">
            <v>8187.9082758620707</v>
          </cell>
          <cell r="C281">
            <v>6282.8041379310307</v>
          </cell>
          <cell r="D281">
            <v>6064.0041379310405</v>
          </cell>
          <cell r="E281">
            <v>0</v>
          </cell>
          <cell r="F281">
            <v>33.2703448275862</v>
          </cell>
          <cell r="G281">
            <v>8213.2220689655205</v>
          </cell>
          <cell r="H281">
            <v>9817.9693103448208</v>
          </cell>
          <cell r="I281">
            <v>3576.6575862068903</v>
          </cell>
          <cell r="J281">
            <v>71.59</v>
          </cell>
          <cell r="K281">
            <v>0</v>
          </cell>
          <cell r="L281">
            <v>0</v>
          </cell>
        </row>
        <row r="282">
          <cell r="A282">
            <v>36616</v>
          </cell>
          <cell r="B282">
            <v>9626.9548387096802</v>
          </cell>
          <cell r="C282">
            <v>6561.5212903225802</v>
          </cell>
          <cell r="D282">
            <v>9690.3893548387096</v>
          </cell>
          <cell r="E282">
            <v>18.998709677419399</v>
          </cell>
          <cell r="F282">
            <v>223.60290322580602</v>
          </cell>
          <cell r="G282">
            <v>9157.949354838709</v>
          </cell>
          <cell r="H282">
            <v>12413.071935483869</v>
          </cell>
          <cell r="I282">
            <v>3620.2993548387103</v>
          </cell>
          <cell r="J282">
            <v>284.69548387096802</v>
          </cell>
          <cell r="K282">
            <v>0</v>
          </cell>
          <cell r="L282">
            <v>0</v>
          </cell>
        </row>
        <row r="283">
          <cell r="A283">
            <v>36646</v>
          </cell>
          <cell r="B283">
            <v>5244.0613333333304</v>
          </cell>
          <cell r="C283">
            <v>6419.9489999999987</v>
          </cell>
          <cell r="D283">
            <v>2972.9706666666707</v>
          </cell>
          <cell r="E283">
            <v>4.4596666666666689</v>
          </cell>
          <cell r="F283">
            <v>2.448</v>
          </cell>
          <cell r="G283">
            <v>5245.1689999999999</v>
          </cell>
          <cell r="H283">
            <v>9225.5416666666606</v>
          </cell>
          <cell r="I283">
            <v>3186.0553333333301</v>
          </cell>
          <cell r="J283">
            <v>0</v>
          </cell>
          <cell r="K283">
            <v>0</v>
          </cell>
          <cell r="L283">
            <v>0</v>
          </cell>
        </row>
        <row r="284">
          <cell r="A284">
            <v>36677</v>
          </cell>
          <cell r="B284">
            <v>9814.5041935483896</v>
          </cell>
          <cell r="C284">
            <v>5581.5025806451604</v>
          </cell>
          <cell r="D284">
            <v>9859.8512903225801</v>
          </cell>
          <cell r="E284">
            <v>30.468064516129001</v>
          </cell>
          <cell r="F284">
            <v>15.295806451612899</v>
          </cell>
          <cell r="G284">
            <v>8019.3474193548409</v>
          </cell>
          <cell r="H284">
            <v>10162.67935483871</v>
          </cell>
          <cell r="I284">
            <v>1537.0548387096769</v>
          </cell>
          <cell r="J284">
            <v>251.51516129032302</v>
          </cell>
          <cell r="K284">
            <v>0</v>
          </cell>
          <cell r="L284">
            <v>0</v>
          </cell>
        </row>
        <row r="285">
          <cell r="A285">
            <v>36707</v>
          </cell>
          <cell r="B285">
            <v>9670.0010000000002</v>
          </cell>
          <cell r="C285">
            <v>544.40499999999997</v>
          </cell>
          <cell r="D285">
            <v>10014.576000000001</v>
          </cell>
          <cell r="E285">
            <v>4.6296666666666688</v>
          </cell>
          <cell r="F285">
            <v>0.6</v>
          </cell>
          <cell r="G285">
            <v>8297.6713333333391</v>
          </cell>
          <cell r="H285">
            <v>12487.59666666667</v>
          </cell>
          <cell r="I285">
            <v>2888.0893333333302</v>
          </cell>
          <cell r="J285">
            <v>668.17133333333311</v>
          </cell>
          <cell r="K285">
            <v>0</v>
          </cell>
          <cell r="L285">
            <v>0</v>
          </cell>
        </row>
        <row r="286">
          <cell r="A286">
            <v>36738</v>
          </cell>
          <cell r="B286">
            <v>8203.2090322580698</v>
          </cell>
          <cell r="C286">
            <v>4760.5183870967721</v>
          </cell>
          <cell r="D286">
            <v>7481.0893548387103</v>
          </cell>
          <cell r="E286">
            <v>0</v>
          </cell>
          <cell r="F286">
            <v>2.7141935483871</v>
          </cell>
          <cell r="G286">
            <v>7492.7432258064509</v>
          </cell>
          <cell r="H286">
            <v>10677.510322580649</v>
          </cell>
          <cell r="I286">
            <v>3942.9148387096802</v>
          </cell>
          <cell r="J286">
            <v>824.13354838709699</v>
          </cell>
          <cell r="K286">
            <v>0</v>
          </cell>
          <cell r="L286">
            <v>0</v>
          </cell>
        </row>
        <row r="287">
          <cell r="A287">
            <v>36769</v>
          </cell>
          <cell r="B287">
            <v>9798.5964516128988</v>
          </cell>
          <cell r="C287">
            <v>6508.5706451612896</v>
          </cell>
          <cell r="D287">
            <v>0</v>
          </cell>
          <cell r="E287">
            <v>0</v>
          </cell>
          <cell r="F287">
            <v>335.26838709677401</v>
          </cell>
          <cell r="G287">
            <v>8014.5812903225797</v>
          </cell>
          <cell r="H287">
            <v>11407.100322580649</v>
          </cell>
          <cell r="I287">
            <v>4343.9203225806405</v>
          </cell>
          <cell r="J287">
            <v>1276.4022580645201</v>
          </cell>
          <cell r="K287">
            <v>0</v>
          </cell>
          <cell r="L287">
            <v>0</v>
          </cell>
        </row>
        <row r="288">
          <cell r="A288">
            <v>36799</v>
          </cell>
          <cell r="B288">
            <v>857.52200000000016</v>
          </cell>
          <cell r="C288">
            <v>592.4430000000001</v>
          </cell>
          <cell r="D288">
            <v>0</v>
          </cell>
          <cell r="E288">
            <v>0</v>
          </cell>
          <cell r="F288">
            <v>0</v>
          </cell>
          <cell r="G288">
            <v>709.77700000000004</v>
          </cell>
          <cell r="H288">
            <v>1010.1146666666671</v>
          </cell>
          <cell r="I288">
            <v>477.82400000000007</v>
          </cell>
          <cell r="J288">
            <v>149.95699999999999</v>
          </cell>
          <cell r="K288">
            <v>0</v>
          </cell>
          <cell r="L288">
            <v>0</v>
          </cell>
        </row>
        <row r="289">
          <cell r="A289">
            <v>36830</v>
          </cell>
          <cell r="B289">
            <v>4486.5129032258001</v>
          </cell>
          <cell r="C289">
            <v>3805.3058064516099</v>
          </cell>
          <cell r="D289">
            <v>0</v>
          </cell>
          <cell r="E289">
            <v>0</v>
          </cell>
          <cell r="F289">
            <v>0.85677419354838702</v>
          </cell>
          <cell r="G289">
            <v>5369.0951612903209</v>
          </cell>
          <cell r="H289">
            <v>5481.4461290322606</v>
          </cell>
          <cell r="I289">
            <v>2829.6867741935503</v>
          </cell>
          <cell r="J289">
            <v>17.281290322580599</v>
          </cell>
          <cell r="K289">
            <v>0</v>
          </cell>
          <cell r="L289">
            <v>0</v>
          </cell>
        </row>
        <row r="290">
          <cell r="A290">
            <v>36860</v>
          </cell>
          <cell r="B290">
            <v>10269.796666666669</v>
          </cell>
          <cell r="C290">
            <v>6752.875</v>
          </cell>
          <cell r="D290">
            <v>0</v>
          </cell>
          <cell r="E290">
            <v>0</v>
          </cell>
          <cell r="F290">
            <v>510.34200000000004</v>
          </cell>
          <cell r="G290">
            <v>11184.14933333334</v>
          </cell>
          <cell r="H290">
            <v>11099.950666666671</v>
          </cell>
          <cell r="I290">
            <v>5731.4440000000004</v>
          </cell>
          <cell r="J290">
            <v>503.60633333333305</v>
          </cell>
          <cell r="K290">
            <v>0</v>
          </cell>
          <cell r="L290">
            <v>0</v>
          </cell>
        </row>
        <row r="291">
          <cell r="A291">
            <v>36891</v>
          </cell>
          <cell r="B291">
            <v>10722.311290322581</v>
          </cell>
          <cell r="C291">
            <v>6648.4683870967701</v>
          </cell>
          <cell r="D291">
            <v>0</v>
          </cell>
          <cell r="E291">
            <v>0</v>
          </cell>
          <cell r="F291">
            <v>1808.2177419354803</v>
          </cell>
          <cell r="G291">
            <v>11595.527096774191</v>
          </cell>
          <cell r="H291">
            <v>11381.934838709671</v>
          </cell>
          <cell r="I291">
            <v>1450.5125806451611</v>
          </cell>
          <cell r="J291">
            <v>3492.49096774194</v>
          </cell>
          <cell r="K291">
            <v>5979.8970967741898</v>
          </cell>
          <cell r="L291">
            <v>0</v>
          </cell>
        </row>
        <row r="292">
          <cell r="A292">
            <v>36922</v>
          </cell>
          <cell r="B292">
            <v>10320.24838709677</v>
          </cell>
          <cell r="C292">
            <v>6879.5741935483802</v>
          </cell>
          <cell r="D292">
            <v>0</v>
          </cell>
          <cell r="E292">
            <v>0</v>
          </cell>
          <cell r="F292">
            <v>443.83193548387106</v>
          </cell>
          <cell r="G292">
            <v>11944.00903225806</v>
          </cell>
          <cell r="H292">
            <v>11797.400322580648</v>
          </cell>
          <cell r="I292">
            <v>0</v>
          </cell>
          <cell r="J292">
            <v>3269.8154838709702</v>
          </cell>
          <cell r="K292">
            <v>13857.533225806452</v>
          </cell>
          <cell r="L292">
            <v>0</v>
          </cell>
        </row>
        <row r="293">
          <cell r="A293">
            <v>36950</v>
          </cell>
          <cell r="B293">
            <v>8576.64</v>
          </cell>
          <cell r="C293">
            <v>5582.1728571428603</v>
          </cell>
          <cell r="D293">
            <v>3539.6714285714202</v>
          </cell>
          <cell r="E293">
            <v>0</v>
          </cell>
          <cell r="F293">
            <v>70.18892857142859</v>
          </cell>
          <cell r="G293">
            <v>9806.3378571428511</v>
          </cell>
          <cell r="H293">
            <v>9639.0939285714303</v>
          </cell>
          <cell r="I293">
            <v>0</v>
          </cell>
          <cell r="J293">
            <v>2799.4717857142814</v>
          </cell>
          <cell r="K293">
            <v>11381.831428571422</v>
          </cell>
          <cell r="L293">
            <v>0</v>
          </cell>
        </row>
        <row r="294">
          <cell r="A294">
            <v>36981</v>
          </cell>
          <cell r="B294">
            <v>8157.2396774193603</v>
          </cell>
          <cell r="C294">
            <v>4973.9925806451602</v>
          </cell>
          <cell r="D294">
            <v>7305.7006451612897</v>
          </cell>
          <cell r="E294">
            <v>0</v>
          </cell>
          <cell r="F294">
            <v>26.6477419354839</v>
          </cell>
          <cell r="G294">
            <v>8095.7893548387092</v>
          </cell>
          <cell r="H294">
            <v>10298.801612903229</v>
          </cell>
          <cell r="I294">
            <v>0</v>
          </cell>
          <cell r="J294">
            <v>5458.5922580645183</v>
          </cell>
          <cell r="K294">
            <v>12228.892903225802</v>
          </cell>
          <cell r="L294">
            <v>0</v>
          </cell>
        </row>
        <row r="295">
          <cell r="A295">
            <v>37011</v>
          </cell>
          <cell r="B295">
            <v>8855.0776666666607</v>
          </cell>
          <cell r="C295">
            <v>5824.9616666666707</v>
          </cell>
          <cell r="D295">
            <v>0</v>
          </cell>
          <cell r="E295">
            <v>0</v>
          </cell>
          <cell r="F295">
            <v>1888.2180000000001</v>
          </cell>
          <cell r="G295">
            <v>9733.3696666666692</v>
          </cell>
          <cell r="H295">
            <v>10396.852666666669</v>
          </cell>
          <cell r="I295">
            <v>0</v>
          </cell>
          <cell r="J295">
            <v>7987.0680000000011</v>
          </cell>
          <cell r="K295">
            <v>12204.16866666667</v>
          </cell>
          <cell r="L295">
            <v>0</v>
          </cell>
        </row>
        <row r="296">
          <cell r="A296">
            <v>37042</v>
          </cell>
          <cell r="B296">
            <v>1805.217419354839</v>
          </cell>
          <cell r="C296">
            <v>6387.5348387096801</v>
          </cell>
          <cell r="D296">
            <v>1740.8680645161239</v>
          </cell>
          <cell r="E296">
            <v>0</v>
          </cell>
          <cell r="F296">
            <v>690.680322580645</v>
          </cell>
          <cell r="G296">
            <v>10684.751935483871</v>
          </cell>
          <cell r="H296">
            <v>10720.29612903226</v>
          </cell>
          <cell r="I296">
            <v>0</v>
          </cell>
          <cell r="J296">
            <v>11136.6564516129</v>
          </cell>
          <cell r="K296">
            <v>12416.276774193551</v>
          </cell>
          <cell r="L296">
            <v>0</v>
          </cell>
        </row>
        <row r="297">
          <cell r="A297">
            <v>37072</v>
          </cell>
          <cell r="B297">
            <v>0</v>
          </cell>
          <cell r="C297">
            <v>4748.9296666666596</v>
          </cell>
          <cell r="D297">
            <v>9178.4790000000012</v>
          </cell>
          <cell r="E297">
            <v>0</v>
          </cell>
          <cell r="F297">
            <v>453.26466666666704</v>
          </cell>
          <cell r="G297">
            <v>9844.530999999999</v>
          </cell>
          <cell r="H297">
            <v>9982.092666666671</v>
          </cell>
          <cell r="I297">
            <v>0</v>
          </cell>
          <cell r="J297">
            <v>9955.8040000000001</v>
          </cell>
          <cell r="K297">
            <v>11540.112999999999</v>
          </cell>
          <cell r="L297">
            <v>0</v>
          </cell>
        </row>
        <row r="298">
          <cell r="A298">
            <v>37103</v>
          </cell>
          <cell r="B298">
            <v>0</v>
          </cell>
          <cell r="C298">
            <v>5845.6196774193595</v>
          </cell>
          <cell r="D298">
            <v>10334.252903225799</v>
          </cell>
          <cell r="E298">
            <v>0</v>
          </cell>
          <cell r="F298">
            <v>0</v>
          </cell>
          <cell r="G298">
            <v>10401.76</v>
          </cell>
          <cell r="H298">
            <v>11360.356774193551</v>
          </cell>
          <cell r="I298">
            <v>0</v>
          </cell>
          <cell r="J298">
            <v>13098.51290322581</v>
          </cell>
          <cell r="K298">
            <v>13071.16032258065</v>
          </cell>
          <cell r="L298">
            <v>0</v>
          </cell>
        </row>
        <row r="299">
          <cell r="A299">
            <v>37134</v>
          </cell>
          <cell r="B299">
            <v>0</v>
          </cell>
          <cell r="C299">
            <v>6344.5641935483909</v>
          </cell>
          <cell r="D299">
            <v>10360.28258064516</v>
          </cell>
          <cell r="E299">
            <v>0</v>
          </cell>
          <cell r="F299">
            <v>103.003548387097</v>
          </cell>
          <cell r="G299">
            <v>11179.88096774193</v>
          </cell>
          <cell r="H299">
            <v>11731.9535483871</v>
          </cell>
          <cell r="I299">
            <v>0</v>
          </cell>
          <cell r="J299">
            <v>14439.87612903226</v>
          </cell>
          <cell r="K299">
            <v>13041.10806451612</v>
          </cell>
          <cell r="L299">
            <v>0</v>
          </cell>
        </row>
        <row r="300">
          <cell r="A300">
            <v>37164</v>
          </cell>
          <cell r="B300">
            <v>0</v>
          </cell>
          <cell r="C300">
            <v>3912.5363333333403</v>
          </cell>
          <cell r="D300">
            <v>10839.814666666662</v>
          </cell>
          <cell r="E300">
            <v>0</v>
          </cell>
          <cell r="F300">
            <v>1817.2396666666702</v>
          </cell>
          <cell r="G300">
            <v>10880.316666666669</v>
          </cell>
          <cell r="H300">
            <v>12265.658333333331</v>
          </cell>
          <cell r="I300">
            <v>0</v>
          </cell>
          <cell r="J300">
            <v>13872.652333333332</v>
          </cell>
          <cell r="K300">
            <v>12749.218666666671</v>
          </cell>
          <cell r="L300">
            <v>0</v>
          </cell>
        </row>
        <row r="301">
          <cell r="A301">
            <v>37195</v>
          </cell>
          <cell r="B301">
            <v>0</v>
          </cell>
          <cell r="C301">
            <v>5630.3203225806401</v>
          </cell>
          <cell r="D301">
            <v>7526.2545161290309</v>
          </cell>
          <cell r="E301">
            <v>0</v>
          </cell>
          <cell r="F301">
            <v>835.39741935483903</v>
          </cell>
          <cell r="G301">
            <v>6382.2203225806506</v>
          </cell>
          <cell r="H301">
            <v>10077.52548387097</v>
          </cell>
          <cell r="I301">
            <v>3108.06612903225</v>
          </cell>
          <cell r="J301">
            <v>11237.219032258068</v>
          </cell>
          <cell r="K301">
            <v>10034.200645161291</v>
          </cell>
          <cell r="L301">
            <v>9061.7748387096799</v>
          </cell>
        </row>
        <row r="302">
          <cell r="A302">
            <v>37225</v>
          </cell>
          <cell r="B302">
            <v>0</v>
          </cell>
          <cell r="C302">
            <v>7112.2959456457775</v>
          </cell>
          <cell r="D302">
            <v>6260.7717397694487</v>
          </cell>
          <cell r="E302">
            <v>0</v>
          </cell>
          <cell r="F302">
            <v>1489.0859066541993</v>
          </cell>
          <cell r="G302">
            <v>8699.5129851399761</v>
          </cell>
          <cell r="H302">
            <v>11456.385110650936</v>
          </cell>
          <cell r="I302">
            <v>7099.6255164328977</v>
          </cell>
          <cell r="J302">
            <v>12586.32265530097</v>
          </cell>
          <cell r="K302">
            <v>11873.02157722324</v>
          </cell>
          <cell r="L302">
            <v>10563.841928130203</v>
          </cell>
        </row>
        <row r="303">
          <cell r="A303">
            <v>37256</v>
          </cell>
          <cell r="B303">
            <v>0</v>
          </cell>
          <cell r="C303">
            <v>0</v>
          </cell>
          <cell r="D303">
            <v>0</v>
          </cell>
          <cell r="E303">
            <v>0</v>
          </cell>
          <cell r="F303">
            <v>0</v>
          </cell>
          <cell r="G303">
            <v>0</v>
          </cell>
          <cell r="H303">
            <v>0</v>
          </cell>
          <cell r="I303">
            <v>0</v>
          </cell>
          <cell r="J303">
            <v>0</v>
          </cell>
          <cell r="K303">
            <v>0</v>
          </cell>
          <cell r="L303">
            <v>0</v>
          </cell>
        </row>
        <row r="304">
          <cell r="A304">
            <v>37287</v>
          </cell>
          <cell r="B304">
            <v>0</v>
          </cell>
          <cell r="C304">
            <v>0</v>
          </cell>
          <cell r="D304">
            <v>0</v>
          </cell>
          <cell r="E304">
            <v>0</v>
          </cell>
          <cell r="F304">
            <v>0</v>
          </cell>
          <cell r="G304">
            <v>0</v>
          </cell>
          <cell r="H304">
            <v>0</v>
          </cell>
          <cell r="I304">
            <v>0</v>
          </cell>
          <cell r="J304">
            <v>0</v>
          </cell>
          <cell r="K304">
            <v>0</v>
          </cell>
          <cell r="L304">
            <v>0</v>
          </cell>
        </row>
      </sheetData>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01"/>
      <sheetName val="D02"/>
      <sheetName val="D05"/>
      <sheetName val="D07"/>
      <sheetName val="D08"/>
      <sheetName val="D11"/>
      <sheetName val="D12"/>
      <sheetName val="D15"/>
      <sheetName val="D16"/>
      <sheetName val="D17"/>
      <sheetName val="D18"/>
      <sheetName val="D19"/>
      <sheetName val="D20"/>
      <sheetName val="DW Field Forecast"/>
      <sheetName val="Actual Data"/>
      <sheetName val="Forecast Data"/>
      <sheetName val="Freq vs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7">
          <cell r="A7">
            <v>35095</v>
          </cell>
          <cell r="G7">
            <v>1570.7725806451601</v>
          </cell>
          <cell r="O7">
            <v>1570.7725806451601</v>
          </cell>
        </row>
        <row r="8">
          <cell r="A8">
            <v>35124</v>
          </cell>
          <cell r="D8">
            <v>260.99482758620701</v>
          </cell>
          <cell r="G8">
            <v>1742.3327586206901</v>
          </cell>
          <cell r="O8">
            <v>2003.3275862068972</v>
          </cell>
        </row>
        <row r="9">
          <cell r="A9">
            <v>35155</v>
          </cell>
          <cell r="B9">
            <v>2220.4916129032304</v>
          </cell>
          <cell r="C9">
            <v>516.03258064516103</v>
          </cell>
          <cell r="D9">
            <v>2429.2512903225802</v>
          </cell>
          <cell r="F9">
            <v>859.14870967741911</v>
          </cell>
          <cell r="G9">
            <v>2695.1187096774197</v>
          </cell>
          <cell r="O9">
            <v>8720.0429032258107</v>
          </cell>
        </row>
        <row r="10">
          <cell r="A10">
            <v>35185</v>
          </cell>
          <cell r="B10">
            <v>4889.4626666666691</v>
          </cell>
          <cell r="C10">
            <v>3367.759</v>
          </cell>
          <cell r="D10">
            <v>5932.0146666666697</v>
          </cell>
          <cell r="E10">
            <v>1117.4463333333301</v>
          </cell>
          <cell r="F10">
            <v>7102.7163333333301</v>
          </cell>
          <cell r="G10">
            <v>3628.0630000000001</v>
          </cell>
          <cell r="O10">
            <v>26037.462</v>
          </cell>
        </row>
        <row r="11">
          <cell r="A11">
            <v>35216</v>
          </cell>
          <cell r="B11">
            <v>2471.8951612903202</v>
          </cell>
          <cell r="C11">
            <v>1912.6241935483899</v>
          </cell>
          <cell r="D11">
            <v>4094.6941935483906</v>
          </cell>
          <cell r="E11">
            <v>982.24516129032315</v>
          </cell>
          <cell r="F11">
            <v>5776.7667741935502</v>
          </cell>
          <cell r="G11">
            <v>861.80193548387103</v>
          </cell>
          <cell r="O11">
            <v>16100.027419354845</v>
          </cell>
        </row>
        <row r="12">
          <cell r="A12">
            <v>35246</v>
          </cell>
          <cell r="B12">
            <v>3021.5373333333296</v>
          </cell>
          <cell r="C12">
            <v>1336.4453333333302</v>
          </cell>
          <cell r="D12">
            <v>2127.3986666666701</v>
          </cell>
          <cell r="E12">
            <v>1476.2916666666702</v>
          </cell>
          <cell r="F12">
            <v>1588.4826666666702</v>
          </cell>
          <cell r="G12">
            <v>110.529333333333</v>
          </cell>
          <cell r="O12">
            <v>9660.6850000000031</v>
          </cell>
        </row>
        <row r="13">
          <cell r="A13">
            <v>35277</v>
          </cell>
          <cell r="B13">
            <v>337.60483870967704</v>
          </cell>
          <cell r="C13">
            <v>390.74387096774205</v>
          </cell>
          <cell r="D13">
            <v>0</v>
          </cell>
          <cell r="E13">
            <v>760.82225806451606</v>
          </cell>
          <cell r="F13">
            <v>1257.4361290322602</v>
          </cell>
          <cell r="G13">
            <v>0</v>
          </cell>
          <cell r="O13">
            <v>2746.6070967741953</v>
          </cell>
        </row>
        <row r="14">
          <cell r="A14">
            <v>35308</v>
          </cell>
          <cell r="B14">
            <v>3027.1532258064503</v>
          </cell>
          <cell r="C14">
            <v>4079.9441935483906</v>
          </cell>
          <cell r="D14">
            <v>92.1064516129032</v>
          </cell>
          <cell r="E14">
            <v>2232.1864516128999</v>
          </cell>
          <cell r="F14">
            <v>2152.9135483871</v>
          </cell>
          <cell r="G14">
            <v>0</v>
          </cell>
          <cell r="O14">
            <v>11584.303870967744</v>
          </cell>
        </row>
        <row r="15">
          <cell r="A15">
            <v>35338</v>
          </cell>
          <cell r="B15">
            <v>5957.39</v>
          </cell>
          <cell r="C15">
            <v>3838.665</v>
          </cell>
          <cell r="D15">
            <v>458.64933333333306</v>
          </cell>
          <cell r="E15">
            <v>1817.2336666666702</v>
          </cell>
          <cell r="F15">
            <v>620.16433333333305</v>
          </cell>
          <cell r="G15">
            <v>0</v>
          </cell>
          <cell r="O15">
            <v>12692.102333333336</v>
          </cell>
        </row>
        <row r="16">
          <cell r="A16">
            <v>35369</v>
          </cell>
          <cell r="B16">
            <v>7332.0403225806504</v>
          </cell>
          <cell r="C16">
            <v>4410.5396774193505</v>
          </cell>
          <cell r="D16">
            <v>8039.07</v>
          </cell>
          <cell r="E16">
            <v>2478.2064516128999</v>
          </cell>
          <cell r="F16">
            <v>6764.9332258064505</v>
          </cell>
          <cell r="G16">
            <v>5684.66612903226</v>
          </cell>
          <cell r="O16">
            <v>34709.45580645161</v>
          </cell>
        </row>
        <row r="17">
          <cell r="A17">
            <v>35399</v>
          </cell>
          <cell r="B17">
            <v>6309.0003333333307</v>
          </cell>
          <cell r="C17">
            <v>3906.864</v>
          </cell>
          <cell r="D17">
            <v>6615.2973333333302</v>
          </cell>
          <cell r="E17">
            <v>3430.6403333333296</v>
          </cell>
          <cell r="F17">
            <v>7912.8753333333307</v>
          </cell>
          <cell r="G17">
            <v>7806.3883333333306</v>
          </cell>
          <cell r="O17">
            <v>35981.065666666647</v>
          </cell>
        </row>
        <row r="18">
          <cell r="A18">
            <v>35430</v>
          </cell>
          <cell r="B18">
            <v>2942.4012903225803</v>
          </cell>
          <cell r="C18">
            <v>4255.3045161290302</v>
          </cell>
          <cell r="D18">
            <v>7242.5116129032303</v>
          </cell>
          <cell r="E18">
            <v>2282.6822580645203</v>
          </cell>
          <cell r="F18">
            <v>4999.4729032258101</v>
          </cell>
          <cell r="G18">
            <v>5472.9609677419394</v>
          </cell>
          <cell r="O18">
            <v>27195.333548387112</v>
          </cell>
        </row>
        <row r="19">
          <cell r="A19">
            <v>35461</v>
          </cell>
          <cell r="B19">
            <v>2.5009677419354799</v>
          </cell>
          <cell r="C19">
            <v>4073.6961290322602</v>
          </cell>
          <cell r="D19">
            <v>5046.71677419355</v>
          </cell>
          <cell r="E19">
            <v>2647.2351612903203</v>
          </cell>
          <cell r="F19">
            <v>7015.9390322580603</v>
          </cell>
          <cell r="G19">
            <v>4105.5587096774207</v>
          </cell>
          <cell r="O19">
            <v>22891.646774193548</v>
          </cell>
        </row>
        <row r="20">
          <cell r="A20">
            <v>35489</v>
          </cell>
          <cell r="B20">
            <v>0</v>
          </cell>
          <cell r="C20">
            <v>3729.5875000000001</v>
          </cell>
          <cell r="D20">
            <v>6282.7271428571403</v>
          </cell>
          <cell r="E20">
            <v>3096.7071428571403</v>
          </cell>
          <cell r="F20">
            <v>7345.6275000000005</v>
          </cell>
          <cell r="G20">
            <v>4567.0878571428602</v>
          </cell>
          <cell r="H20">
            <v>4902.9225000000006</v>
          </cell>
          <cell r="O20">
            <v>29924.659642857143</v>
          </cell>
        </row>
        <row r="21">
          <cell r="A21">
            <v>35520</v>
          </cell>
          <cell r="B21">
            <v>0</v>
          </cell>
          <cell r="C21">
            <v>4302.2948387096803</v>
          </cell>
          <cell r="D21">
            <v>8464.6545161290305</v>
          </cell>
          <cell r="E21">
            <v>3636.1935483871002</v>
          </cell>
          <cell r="F21">
            <v>8769.1929032258104</v>
          </cell>
          <cell r="G21">
            <v>1755.7751612903201</v>
          </cell>
          <cell r="H21">
            <v>7702.6303225806505</v>
          </cell>
          <cell r="I21">
            <v>739.08741935483897</v>
          </cell>
          <cell r="O21">
            <v>35369.828709677429</v>
          </cell>
        </row>
        <row r="22">
          <cell r="A22">
            <v>35550</v>
          </cell>
          <cell r="B22">
            <v>2028.1020000000001</v>
          </cell>
          <cell r="C22">
            <v>0</v>
          </cell>
          <cell r="D22">
            <v>11903.437666666699</v>
          </cell>
          <cell r="E22">
            <v>4142.2623333333304</v>
          </cell>
          <cell r="F22">
            <v>10122.2356666667</v>
          </cell>
          <cell r="G22">
            <v>876.17033333333302</v>
          </cell>
          <cell r="H22">
            <v>13799.230666666699</v>
          </cell>
          <cell r="I22">
            <v>6234.3050000000003</v>
          </cell>
          <cell r="O22">
            <v>49105.743666666764</v>
          </cell>
        </row>
        <row r="23">
          <cell r="A23">
            <v>35581</v>
          </cell>
          <cell r="B23">
            <v>7905.8296774193504</v>
          </cell>
          <cell r="C23">
            <v>0</v>
          </cell>
          <cell r="D23">
            <v>11220.729354838699</v>
          </cell>
          <cell r="E23">
            <v>4527.6006451612902</v>
          </cell>
          <cell r="F23">
            <v>2410.0516129032303</v>
          </cell>
          <cell r="G23">
            <v>5547.1203225806503</v>
          </cell>
          <cell r="H23">
            <v>13871.021935483901</v>
          </cell>
          <cell r="I23">
            <v>5331.1258064516105</v>
          </cell>
          <cell r="O23">
            <v>50813.479354838724</v>
          </cell>
        </row>
        <row r="24">
          <cell r="A24">
            <v>35611</v>
          </cell>
          <cell r="B24">
            <v>6550.74</v>
          </cell>
          <cell r="C24">
            <v>0</v>
          </cell>
          <cell r="D24">
            <v>9483.9770000000008</v>
          </cell>
          <cell r="E24">
            <v>4078.2316666666702</v>
          </cell>
          <cell r="F24">
            <v>1966.6703333333301</v>
          </cell>
          <cell r="G24">
            <v>4560.5383333333302</v>
          </cell>
          <cell r="H24">
            <v>10954.368</v>
          </cell>
          <cell r="I24">
            <v>3657.0880000000002</v>
          </cell>
          <cell r="O24">
            <v>41251.613333333335</v>
          </cell>
        </row>
        <row r="25">
          <cell r="A25">
            <v>35642</v>
          </cell>
          <cell r="B25">
            <v>1660.6296774193499</v>
          </cell>
          <cell r="C25">
            <v>0</v>
          </cell>
          <cell r="D25">
            <v>6309.4125806451602</v>
          </cell>
          <cell r="E25">
            <v>4453.7964516129005</v>
          </cell>
          <cell r="F25">
            <v>2100.2535483871002</v>
          </cell>
          <cell r="G25">
            <v>4674.0074193548398</v>
          </cell>
          <cell r="H25">
            <v>12004.7038709677</v>
          </cell>
          <cell r="I25">
            <v>6398.7177419354803</v>
          </cell>
          <cell r="O25">
            <v>37601.521290322526</v>
          </cell>
        </row>
        <row r="26">
          <cell r="A26">
            <v>35673</v>
          </cell>
          <cell r="B26">
            <v>2084.7974193548398</v>
          </cell>
          <cell r="C26">
            <v>0</v>
          </cell>
          <cell r="D26">
            <v>3057.6516129032302</v>
          </cell>
          <cell r="E26">
            <v>3318.6387096774197</v>
          </cell>
          <cell r="F26">
            <v>1597.3712903225801</v>
          </cell>
          <cell r="G26">
            <v>486.4758064516131</v>
          </cell>
          <cell r="H26">
            <v>10190.808064516101</v>
          </cell>
          <cell r="I26">
            <v>4904.6219354838704</v>
          </cell>
          <cell r="O26">
            <v>25640.364838709655</v>
          </cell>
        </row>
        <row r="27">
          <cell r="A27">
            <v>35703</v>
          </cell>
          <cell r="B27">
            <v>3466.4450000000002</v>
          </cell>
          <cell r="C27">
            <v>0</v>
          </cell>
          <cell r="D27">
            <v>7049.6330000000007</v>
          </cell>
          <cell r="E27">
            <v>2916.3213333333297</v>
          </cell>
          <cell r="F27">
            <v>191.98966666666698</v>
          </cell>
          <cell r="G27">
            <v>0</v>
          </cell>
          <cell r="H27">
            <v>9139.238333333331</v>
          </cell>
          <cell r="I27">
            <v>1157.1320000000001</v>
          </cell>
          <cell r="O27">
            <v>23920.759333333332</v>
          </cell>
        </row>
        <row r="28">
          <cell r="A28">
            <v>35734</v>
          </cell>
          <cell r="B28">
            <v>4955.1280645161305</v>
          </cell>
          <cell r="C28">
            <v>0</v>
          </cell>
          <cell r="D28">
            <v>10575.396774193499</v>
          </cell>
          <cell r="E28">
            <v>4585.20774193548</v>
          </cell>
          <cell r="F28">
            <v>124.092903225806</v>
          </cell>
          <cell r="G28">
            <v>0</v>
          </cell>
          <cell r="H28">
            <v>10681.721612903199</v>
          </cell>
          <cell r="I28">
            <v>0</v>
          </cell>
          <cell r="O28">
            <v>30921.547096774113</v>
          </cell>
        </row>
        <row r="29">
          <cell r="A29">
            <v>35764</v>
          </cell>
          <cell r="B29">
            <v>5154.4276666666692</v>
          </cell>
          <cell r="C29">
            <v>0</v>
          </cell>
          <cell r="D29">
            <v>10374.4803333333</v>
          </cell>
          <cell r="E29">
            <v>4762.4353333333302</v>
          </cell>
          <cell r="F29">
            <v>0</v>
          </cell>
          <cell r="G29">
            <v>0</v>
          </cell>
          <cell r="H29">
            <v>14159.871333333302</v>
          </cell>
          <cell r="I29">
            <v>280.70133333333303</v>
          </cell>
          <cell r="O29">
            <v>34731.915999999932</v>
          </cell>
        </row>
        <row r="30">
          <cell r="A30">
            <v>35795</v>
          </cell>
          <cell r="B30">
            <v>4966.0229032258094</v>
          </cell>
          <cell r="C30">
            <v>0</v>
          </cell>
          <cell r="D30">
            <v>9646.0735483870994</v>
          </cell>
          <cell r="E30">
            <v>4315.0612903225801</v>
          </cell>
          <cell r="F30">
            <v>5391.1832258064505</v>
          </cell>
          <cell r="G30">
            <v>0</v>
          </cell>
          <cell r="H30">
            <v>12724.585483871</v>
          </cell>
          <cell r="I30">
            <v>1415.20032258065</v>
          </cell>
          <cell r="O30">
            <v>38458.126774193588</v>
          </cell>
        </row>
        <row r="31">
          <cell r="A31">
            <v>35826</v>
          </cell>
          <cell r="B31">
            <v>3602.8083870967703</v>
          </cell>
          <cell r="C31">
            <v>0</v>
          </cell>
          <cell r="D31">
            <v>7766.1341935483897</v>
          </cell>
          <cell r="E31">
            <v>3383.0319354838698</v>
          </cell>
          <cell r="F31">
            <v>11756.229354838699</v>
          </cell>
          <cell r="G31">
            <v>0</v>
          </cell>
          <cell r="H31">
            <v>10322.1338709677</v>
          </cell>
          <cell r="I31">
            <v>266.75645161290299</v>
          </cell>
          <cell r="O31">
            <v>37097.094193548335</v>
          </cell>
        </row>
        <row r="32">
          <cell r="A32">
            <v>35854</v>
          </cell>
          <cell r="B32">
            <v>2891.3814285714302</v>
          </cell>
          <cell r="C32">
            <v>0</v>
          </cell>
          <cell r="D32">
            <v>4135.3303571428605</v>
          </cell>
          <cell r="E32">
            <v>3730.7089285714301</v>
          </cell>
          <cell r="F32">
            <v>13356.5689285714</v>
          </cell>
          <cell r="G32">
            <v>0</v>
          </cell>
          <cell r="H32">
            <v>11620.3378571429</v>
          </cell>
          <cell r="I32">
            <v>91.746785714285693</v>
          </cell>
          <cell r="O32">
            <v>35826.074285714305</v>
          </cell>
        </row>
        <row r="33">
          <cell r="A33">
            <v>35885</v>
          </cell>
          <cell r="B33">
            <v>0</v>
          </cell>
          <cell r="C33">
            <v>0</v>
          </cell>
          <cell r="D33">
            <v>193.007096774194</v>
          </cell>
          <cell r="E33">
            <v>3460.2606451612901</v>
          </cell>
          <cell r="F33">
            <v>12584.463548387101</v>
          </cell>
          <cell r="G33">
            <v>0</v>
          </cell>
          <cell r="H33">
            <v>10809.0909677419</v>
          </cell>
          <cell r="I33">
            <v>0</v>
          </cell>
          <cell r="O33">
            <v>27046.822258064487</v>
          </cell>
        </row>
        <row r="34">
          <cell r="A34">
            <v>35915</v>
          </cell>
          <cell r="B34">
            <v>0</v>
          </cell>
          <cell r="C34">
            <v>1511.809</v>
          </cell>
          <cell r="D34">
            <v>5778.84</v>
          </cell>
          <cell r="E34">
            <v>2077.6046666666703</v>
          </cell>
          <cell r="F34">
            <v>11935.876</v>
          </cell>
          <cell r="G34">
            <v>360.33466666666703</v>
          </cell>
          <cell r="H34">
            <v>10543.013999999999</v>
          </cell>
          <cell r="I34">
            <v>0</v>
          </cell>
          <cell r="O34">
            <v>32207.478333333336</v>
          </cell>
        </row>
        <row r="35">
          <cell r="A35">
            <v>35946</v>
          </cell>
          <cell r="B35">
            <v>3156.59709677419</v>
          </cell>
          <cell r="C35">
            <v>7496.09741935484</v>
          </cell>
          <cell r="D35">
            <v>8367.4019354838711</v>
          </cell>
          <cell r="E35">
            <v>0</v>
          </cell>
          <cell r="F35">
            <v>5982.4061290322597</v>
          </cell>
          <cell r="G35">
            <v>5210.508387096771</v>
          </cell>
          <cell r="H35">
            <v>9156.9161290322609</v>
          </cell>
          <cell r="I35">
            <v>0</v>
          </cell>
          <cell r="O35">
            <v>39369.927096774198</v>
          </cell>
        </row>
        <row r="36">
          <cell r="A36">
            <v>35976</v>
          </cell>
          <cell r="B36">
            <v>4268.1446666666698</v>
          </cell>
          <cell r="C36">
            <v>5657.1193333333304</v>
          </cell>
          <cell r="D36">
            <v>4864.6559999999999</v>
          </cell>
          <cell r="E36">
            <v>0</v>
          </cell>
          <cell r="F36">
            <v>4147.2213333333302</v>
          </cell>
          <cell r="G36">
            <v>4772.0740000000005</v>
          </cell>
          <cell r="H36">
            <v>5686.1573333333299</v>
          </cell>
          <cell r="I36">
            <v>55.948666666666696</v>
          </cell>
          <cell r="O36">
            <v>29451.321333333326</v>
          </cell>
        </row>
        <row r="37">
          <cell r="A37">
            <v>36007</v>
          </cell>
          <cell r="B37">
            <v>662.63806451612902</v>
          </cell>
          <cell r="C37">
            <v>739.09741935483896</v>
          </cell>
          <cell r="D37">
            <v>965.54225806451609</v>
          </cell>
          <cell r="E37">
            <v>0</v>
          </cell>
          <cell r="F37">
            <v>0</v>
          </cell>
          <cell r="G37">
            <v>739.29645161290307</v>
          </cell>
          <cell r="H37">
            <v>927.16129032258107</v>
          </cell>
          <cell r="I37">
            <v>954.95193548387101</v>
          </cell>
          <cell r="O37">
            <v>4988.6874193548392</v>
          </cell>
        </row>
        <row r="38">
          <cell r="A38">
            <v>36038</v>
          </cell>
          <cell r="B38">
            <v>5597.21451612903</v>
          </cell>
          <cell r="C38">
            <v>6137.8138709677396</v>
          </cell>
          <cell r="D38">
            <v>6543.3683870967707</v>
          </cell>
          <cell r="E38">
            <v>0</v>
          </cell>
          <cell r="F38">
            <v>5376.3519354838709</v>
          </cell>
          <cell r="G38">
            <v>6987.1883870967713</v>
          </cell>
          <cell r="H38">
            <v>3823.8554838709706</v>
          </cell>
          <cell r="I38">
            <v>6441.6519354838711</v>
          </cell>
          <cell r="O38">
            <v>40907.44451612902</v>
          </cell>
        </row>
        <row r="39">
          <cell r="A39">
            <v>36068</v>
          </cell>
          <cell r="B39">
            <v>4864.2240000000002</v>
          </cell>
          <cell r="C39">
            <v>6704.0889999999999</v>
          </cell>
          <cell r="D39">
            <v>5137.2690000000002</v>
          </cell>
          <cell r="E39">
            <v>13.504666666666699</v>
          </cell>
          <cell r="F39">
            <v>7933.7743333333301</v>
          </cell>
          <cell r="G39">
            <v>5081.9453333333304</v>
          </cell>
          <cell r="H39">
            <v>0</v>
          </cell>
          <cell r="I39">
            <v>5239.33</v>
          </cell>
          <cell r="O39">
            <v>34974.136333333328</v>
          </cell>
        </row>
        <row r="40">
          <cell r="A40">
            <v>36099</v>
          </cell>
          <cell r="B40">
            <v>4145.6325806451605</v>
          </cell>
          <cell r="C40">
            <v>9053.7622580645202</v>
          </cell>
          <cell r="D40">
            <v>2052.55096774194</v>
          </cell>
          <cell r="E40">
            <v>1475.7183870967699</v>
          </cell>
          <cell r="F40">
            <v>726.16225806451598</v>
          </cell>
          <cell r="G40">
            <v>4250.9096774193504</v>
          </cell>
          <cell r="H40">
            <v>0</v>
          </cell>
          <cell r="I40">
            <v>5612.7538709677401</v>
          </cell>
          <cell r="O40">
            <v>27317.489999999994</v>
          </cell>
        </row>
        <row r="41">
          <cell r="A41">
            <v>36129</v>
          </cell>
          <cell r="B41">
            <v>779.05733333333308</v>
          </cell>
          <cell r="C41">
            <v>8859.9903333333314</v>
          </cell>
          <cell r="D41">
            <v>0</v>
          </cell>
          <cell r="E41">
            <v>0</v>
          </cell>
          <cell r="F41">
            <v>687.42366666666715</v>
          </cell>
          <cell r="G41">
            <v>5207.7246666666697</v>
          </cell>
          <cell r="H41">
            <v>0</v>
          </cell>
          <cell r="I41">
            <v>7061.7049999999999</v>
          </cell>
          <cell r="O41">
            <v>22595.900999999998</v>
          </cell>
        </row>
        <row r="42">
          <cell r="A42">
            <v>36160</v>
          </cell>
          <cell r="B42">
            <v>0</v>
          </cell>
          <cell r="C42">
            <v>9479.5051612903208</v>
          </cell>
          <cell r="D42">
            <v>0</v>
          </cell>
          <cell r="E42">
            <v>0</v>
          </cell>
          <cell r="F42">
            <v>1015.87774193548</v>
          </cell>
          <cell r="G42">
            <v>5172.2754838709698</v>
          </cell>
          <cell r="H42">
            <v>0</v>
          </cell>
          <cell r="I42">
            <v>6005.7287096774207</v>
          </cell>
          <cell r="O42">
            <v>21673.38709677419</v>
          </cell>
        </row>
        <row r="43">
          <cell r="A43">
            <v>36191</v>
          </cell>
          <cell r="B43">
            <v>1572.3780645161301</v>
          </cell>
          <cell r="C43">
            <v>8123.7141935483896</v>
          </cell>
          <cell r="D43">
            <v>0</v>
          </cell>
          <cell r="E43">
            <v>0</v>
          </cell>
          <cell r="F43">
            <v>4081.4870967741899</v>
          </cell>
          <cell r="G43">
            <v>4125.1664516129003</v>
          </cell>
          <cell r="H43">
            <v>0</v>
          </cell>
          <cell r="I43">
            <v>4047.6470967741902</v>
          </cell>
          <cell r="O43">
            <v>21950.392903225802</v>
          </cell>
        </row>
        <row r="44">
          <cell r="A44">
            <v>36219</v>
          </cell>
          <cell r="B44">
            <v>4677.6817857142896</v>
          </cell>
          <cell r="C44">
            <v>7491.1432142857111</v>
          </cell>
          <cell r="D44">
            <v>5764.1675000000005</v>
          </cell>
          <cell r="E44">
            <v>0</v>
          </cell>
          <cell r="F44">
            <v>7141.59428571429</v>
          </cell>
          <cell r="G44">
            <v>0</v>
          </cell>
          <cell r="H44">
            <v>3912.0560714285702</v>
          </cell>
          <cell r="I44">
            <v>3504.4389285714301</v>
          </cell>
          <cell r="O44">
            <v>32491.081785714294</v>
          </cell>
        </row>
        <row r="45">
          <cell r="A45">
            <v>36250</v>
          </cell>
          <cell r="B45">
            <v>845.67774193548405</v>
          </cell>
          <cell r="C45">
            <v>1265.3103225806501</v>
          </cell>
          <cell r="D45">
            <v>1070.62064516129</v>
          </cell>
          <cell r="E45">
            <v>0</v>
          </cell>
          <cell r="F45">
            <v>1406.3741935483899</v>
          </cell>
          <cell r="G45">
            <v>0</v>
          </cell>
          <cell r="H45">
            <v>1511.0422580645202</v>
          </cell>
          <cell r="I45">
            <v>652.51032258064504</v>
          </cell>
          <cell r="O45">
            <v>6751.53548387098</v>
          </cell>
        </row>
        <row r="46">
          <cell r="A46">
            <v>36280</v>
          </cell>
          <cell r="B46">
            <v>34.155999999999999</v>
          </cell>
          <cell r="C46">
            <v>1046.596</v>
          </cell>
          <cell r="D46">
            <v>289.13200000000001</v>
          </cell>
          <cell r="E46">
            <v>0</v>
          </cell>
          <cell r="F46">
            <v>1151.2226666666702</v>
          </cell>
          <cell r="G46">
            <v>0</v>
          </cell>
          <cell r="H46">
            <v>310.85533333333302</v>
          </cell>
          <cell r="I46">
            <v>0</v>
          </cell>
          <cell r="O46">
            <v>2831.9620000000032</v>
          </cell>
        </row>
        <row r="47">
          <cell r="A47">
            <v>36311</v>
          </cell>
          <cell r="B47">
            <v>0</v>
          </cell>
          <cell r="C47">
            <v>6420.3432258064504</v>
          </cell>
          <cell r="D47">
            <v>250.000967741935</v>
          </cell>
          <cell r="E47">
            <v>0</v>
          </cell>
          <cell r="F47">
            <v>5294.03</v>
          </cell>
          <cell r="G47">
            <v>0</v>
          </cell>
          <cell r="H47">
            <v>4906.6558064516103</v>
          </cell>
          <cell r="I47">
            <v>0</v>
          </cell>
          <cell r="J47">
            <v>8198.4077419354799</v>
          </cell>
          <cell r="O47">
            <v>25069.437741935475</v>
          </cell>
        </row>
        <row r="48">
          <cell r="A48">
            <v>36341</v>
          </cell>
          <cell r="B48">
            <v>2955.2326666666704</v>
          </cell>
          <cell r="C48">
            <v>7336.8896666666697</v>
          </cell>
          <cell r="D48">
            <v>3593.33</v>
          </cell>
          <cell r="E48">
            <v>0</v>
          </cell>
          <cell r="F48">
            <v>6655.6016666666692</v>
          </cell>
          <cell r="G48">
            <v>0</v>
          </cell>
          <cell r="H48">
            <v>3514.3053333333296</v>
          </cell>
          <cell r="I48">
            <v>0</v>
          </cell>
          <cell r="J48">
            <v>110.968</v>
          </cell>
          <cell r="O48">
            <v>24166.327333333342</v>
          </cell>
        </row>
        <row r="49">
          <cell r="A49">
            <v>36372</v>
          </cell>
          <cell r="B49">
            <v>2371.1003225806498</v>
          </cell>
          <cell r="C49">
            <v>5697.5851612903207</v>
          </cell>
          <cell r="D49">
            <v>3976.0416129032301</v>
          </cell>
          <cell r="E49">
            <v>0</v>
          </cell>
          <cell r="F49">
            <v>0</v>
          </cell>
          <cell r="G49">
            <v>3712.31193548387</v>
          </cell>
          <cell r="H49">
            <v>3562.1964516129001</v>
          </cell>
          <cell r="I49">
            <v>584.53032258064502</v>
          </cell>
          <cell r="J49">
            <v>0</v>
          </cell>
          <cell r="O49">
            <v>19903.765806451618</v>
          </cell>
        </row>
        <row r="50">
          <cell r="A50">
            <v>36403</v>
          </cell>
          <cell r="B50">
            <v>3542.6051612903202</v>
          </cell>
          <cell r="C50">
            <v>5702.5219354838709</v>
          </cell>
          <cell r="D50">
            <v>3832.54193548387</v>
          </cell>
          <cell r="E50">
            <v>0</v>
          </cell>
          <cell r="F50">
            <v>264.848064516129</v>
          </cell>
          <cell r="G50">
            <v>4775.2529032258099</v>
          </cell>
          <cell r="H50">
            <v>4819.3035483870999</v>
          </cell>
          <cell r="I50">
            <v>465.71516129032301</v>
          </cell>
          <cell r="J50">
            <v>0</v>
          </cell>
          <cell r="O50">
            <v>23402.788709677421</v>
          </cell>
        </row>
        <row r="51">
          <cell r="A51">
            <v>36433</v>
          </cell>
          <cell r="B51">
            <v>2887.3820000000001</v>
          </cell>
          <cell r="C51">
            <v>3829.9556666666704</v>
          </cell>
          <cell r="D51">
            <v>2810.2996666666704</v>
          </cell>
          <cell r="E51">
            <v>0</v>
          </cell>
          <cell r="F51">
            <v>778.79733333333309</v>
          </cell>
          <cell r="G51">
            <v>3103.1380000000004</v>
          </cell>
          <cell r="H51">
            <v>3319.3976666666704</v>
          </cell>
          <cell r="I51">
            <v>0</v>
          </cell>
          <cell r="J51">
            <v>8.7576666666666707</v>
          </cell>
          <cell r="O51">
            <v>16737.728000000014</v>
          </cell>
        </row>
        <row r="52">
          <cell r="A52">
            <v>36464</v>
          </cell>
          <cell r="B52">
            <v>4181.3683870967707</v>
          </cell>
          <cell r="C52">
            <v>5085.2174193548399</v>
          </cell>
          <cell r="D52">
            <v>3736.1316129032302</v>
          </cell>
          <cell r="E52">
            <v>0</v>
          </cell>
          <cell r="F52">
            <v>0</v>
          </cell>
          <cell r="G52">
            <v>4311.1029032258093</v>
          </cell>
          <cell r="H52">
            <v>4629.4612903225807</v>
          </cell>
          <cell r="I52">
            <v>0</v>
          </cell>
          <cell r="J52">
            <v>395.03709677419408</v>
          </cell>
          <cell r="O52">
            <v>22338.318709677424</v>
          </cell>
        </row>
        <row r="53">
          <cell r="A53">
            <v>36494</v>
          </cell>
          <cell r="B53">
            <v>3958.5353333333296</v>
          </cell>
          <cell r="C53">
            <v>4702.8599999999997</v>
          </cell>
          <cell r="D53">
            <v>3599.0460000000003</v>
          </cell>
          <cell r="E53">
            <v>0</v>
          </cell>
          <cell r="F53">
            <v>0</v>
          </cell>
          <cell r="G53">
            <v>4039.0160000000001</v>
          </cell>
          <cell r="H53">
            <v>4406.9189999999999</v>
          </cell>
          <cell r="I53">
            <v>0</v>
          </cell>
          <cell r="J53">
            <v>0</v>
          </cell>
          <cell r="O53">
            <v>20706.37633333333</v>
          </cell>
        </row>
        <row r="54">
          <cell r="A54">
            <v>36525</v>
          </cell>
          <cell r="B54">
            <v>3815.9325806451602</v>
          </cell>
          <cell r="C54">
            <v>5156.1574193548395</v>
          </cell>
          <cell r="D54">
            <v>3334.26774193548</v>
          </cell>
          <cell r="E54">
            <v>0</v>
          </cell>
          <cell r="F54">
            <v>0</v>
          </cell>
          <cell r="G54">
            <v>3736.3854838709703</v>
          </cell>
          <cell r="H54">
            <v>4469.23870967742</v>
          </cell>
          <cell r="I54">
            <v>1183.6074193548402</v>
          </cell>
          <cell r="J54">
            <v>0</v>
          </cell>
          <cell r="O54">
            <v>21695.58935483871</v>
          </cell>
        </row>
        <row r="55">
          <cell r="A55">
            <v>36556</v>
          </cell>
          <cell r="B55">
            <v>2939.6425806451598</v>
          </cell>
          <cell r="C55">
            <v>3786.7432258064505</v>
          </cell>
          <cell r="D55">
            <v>2346.5416129032301</v>
          </cell>
          <cell r="E55">
            <v>1.19354838709677</v>
          </cell>
          <cell r="F55">
            <v>0</v>
          </cell>
          <cell r="G55">
            <v>2823.2674193548401</v>
          </cell>
          <cell r="H55">
            <v>3679.95</v>
          </cell>
          <cell r="I55">
            <v>1849.67</v>
          </cell>
          <cell r="J55">
            <v>0</v>
          </cell>
          <cell r="O55">
            <v>17427.008387096779</v>
          </cell>
        </row>
        <row r="56">
          <cell r="A56">
            <v>36585</v>
          </cell>
          <cell r="B56">
            <v>3081.4106896551702</v>
          </cell>
          <cell r="C56">
            <v>4246.9744827586201</v>
          </cell>
          <cell r="D56">
            <v>2274.1331034482801</v>
          </cell>
          <cell r="E56">
            <v>0</v>
          </cell>
          <cell r="F56">
            <v>33.2703448275862</v>
          </cell>
          <cell r="G56">
            <v>3173.52</v>
          </cell>
          <cell r="H56">
            <v>4778.9613793103399</v>
          </cell>
          <cell r="I56">
            <v>1884.0024137931002</v>
          </cell>
          <cell r="J56">
            <v>71.59</v>
          </cell>
          <cell r="O56">
            <v>19543.862413793096</v>
          </cell>
        </row>
        <row r="57">
          <cell r="A57">
            <v>36616</v>
          </cell>
          <cell r="B57">
            <v>3187.2054838709705</v>
          </cell>
          <cell r="C57">
            <v>4403.30064516129</v>
          </cell>
          <cell r="D57">
            <v>3200.6419354838699</v>
          </cell>
          <cell r="E57">
            <v>18.998709677419399</v>
          </cell>
          <cell r="F57">
            <v>223.60290322580602</v>
          </cell>
          <cell r="G57">
            <v>3490.4038709677402</v>
          </cell>
          <cell r="H57">
            <v>5600.7161290322601</v>
          </cell>
          <cell r="I57">
            <v>1778.31</v>
          </cell>
          <cell r="J57">
            <v>284.69548387096802</v>
          </cell>
          <cell r="O57">
            <v>22187.875161290329</v>
          </cell>
        </row>
        <row r="58">
          <cell r="A58">
            <v>36646</v>
          </cell>
          <cell r="B58">
            <v>1847.53633333333</v>
          </cell>
          <cell r="C58">
            <v>4128.6696666666694</v>
          </cell>
          <cell r="D58">
            <v>1047.4080000000001</v>
          </cell>
          <cell r="E58">
            <v>4.4596666666666689</v>
          </cell>
          <cell r="F58">
            <v>2.448</v>
          </cell>
          <cell r="G58">
            <v>2117.1936666666702</v>
          </cell>
          <cell r="H58">
            <v>4379.1083333333299</v>
          </cell>
          <cell r="I58">
            <v>1640.2170000000001</v>
          </cell>
          <cell r="J58">
            <v>0</v>
          </cell>
          <cell r="O58">
            <v>15167.040666666668</v>
          </cell>
        </row>
        <row r="59">
          <cell r="A59">
            <v>36677</v>
          </cell>
          <cell r="B59">
            <v>3303.9619354838701</v>
          </cell>
          <cell r="C59">
            <v>3499.7032258064505</v>
          </cell>
          <cell r="D59">
            <v>3319.2274193548401</v>
          </cell>
          <cell r="E59">
            <v>30.468064516129001</v>
          </cell>
          <cell r="F59">
            <v>15.295806451612899</v>
          </cell>
          <cell r="G59">
            <v>2942.4538709677404</v>
          </cell>
          <cell r="H59">
            <v>4342.4680645161297</v>
          </cell>
          <cell r="I59">
            <v>733.876451612903</v>
          </cell>
          <cell r="J59">
            <v>251.51516129032302</v>
          </cell>
          <cell r="O59">
            <v>18438.969999999998</v>
          </cell>
        </row>
        <row r="60">
          <cell r="A60">
            <v>36707</v>
          </cell>
          <cell r="B60">
            <v>3125.5663333333296</v>
          </cell>
          <cell r="C60">
            <v>333.56633333333303</v>
          </cell>
          <cell r="D60">
            <v>2841.1750000000002</v>
          </cell>
          <cell r="E60">
            <v>4.6296666666666688</v>
          </cell>
          <cell r="F60">
            <v>0.6</v>
          </cell>
          <cell r="G60">
            <v>2928.5526666666701</v>
          </cell>
          <cell r="H60">
            <v>5151.277</v>
          </cell>
          <cell r="I60">
            <v>1076.56533333333</v>
          </cell>
          <cell r="J60">
            <v>668.17133333333311</v>
          </cell>
          <cell r="O60">
            <v>16130.103666666664</v>
          </cell>
        </row>
        <row r="61">
          <cell r="A61">
            <v>36738</v>
          </cell>
          <cell r="B61">
            <v>2747.9874193548399</v>
          </cell>
          <cell r="C61">
            <v>3788.5945161290301</v>
          </cell>
          <cell r="D61">
            <v>2275.4087096774197</v>
          </cell>
          <cell r="E61">
            <v>0</v>
          </cell>
          <cell r="F61">
            <v>2.7141935483871</v>
          </cell>
          <cell r="G61">
            <v>2984.4280645161302</v>
          </cell>
          <cell r="H61">
            <v>4756.1709677419394</v>
          </cell>
          <cell r="I61">
            <v>1678.6032258064502</v>
          </cell>
          <cell r="J61">
            <v>824.13354838709699</v>
          </cell>
          <cell r="O61">
            <v>19058.040645161294</v>
          </cell>
        </row>
        <row r="62">
          <cell r="A62">
            <v>36769</v>
          </cell>
          <cell r="B62">
            <v>2803.3125806451599</v>
          </cell>
          <cell r="C62">
            <v>4344.7154838709694</v>
          </cell>
          <cell r="D62">
            <v>0</v>
          </cell>
          <cell r="E62">
            <v>0</v>
          </cell>
          <cell r="F62">
            <v>335.26838709677401</v>
          </cell>
          <cell r="G62">
            <v>3075.7083870967704</v>
          </cell>
          <cell r="H62">
            <v>4667.36935483871</v>
          </cell>
          <cell r="I62">
            <v>1706.60064516129</v>
          </cell>
          <cell r="J62">
            <v>1276.4022580645201</v>
          </cell>
          <cell r="O62">
            <v>18209.377096774195</v>
          </cell>
        </row>
        <row r="63">
          <cell r="A63">
            <v>36799</v>
          </cell>
          <cell r="B63">
            <v>265.50833333333304</v>
          </cell>
          <cell r="C63">
            <v>409.98600000000005</v>
          </cell>
          <cell r="D63">
            <v>0</v>
          </cell>
          <cell r="E63">
            <v>0</v>
          </cell>
          <cell r="F63">
            <v>0</v>
          </cell>
          <cell r="G63">
            <v>291.50866666666701</v>
          </cell>
          <cell r="H63">
            <v>441.03766666666701</v>
          </cell>
          <cell r="I63">
            <v>200.69300000000001</v>
          </cell>
          <cell r="J63">
            <v>149.95699999999999</v>
          </cell>
          <cell r="O63">
            <v>1758.6906666666673</v>
          </cell>
        </row>
        <row r="64">
          <cell r="A64">
            <v>36830</v>
          </cell>
          <cell r="B64">
            <v>1504.3370967741901</v>
          </cell>
          <cell r="C64">
            <v>2538.8767741935499</v>
          </cell>
          <cell r="D64">
            <v>0</v>
          </cell>
          <cell r="E64">
            <v>0</v>
          </cell>
          <cell r="F64">
            <v>0.85677419354838702</v>
          </cell>
          <cell r="G64">
            <v>2321.0793548387101</v>
          </cell>
          <cell r="H64">
            <v>2444.0012903225802</v>
          </cell>
          <cell r="I64">
            <v>1166.0338709677403</v>
          </cell>
          <cell r="J64">
            <v>17.281290322580599</v>
          </cell>
          <cell r="O64">
            <v>9992.4664516128996</v>
          </cell>
        </row>
        <row r="65">
          <cell r="A65">
            <v>36860</v>
          </cell>
          <cell r="B65">
            <v>2805.9490000000001</v>
          </cell>
          <cell r="C65">
            <v>4023.875</v>
          </cell>
          <cell r="D65">
            <v>0</v>
          </cell>
          <cell r="E65">
            <v>0</v>
          </cell>
          <cell r="F65">
            <v>510.34200000000004</v>
          </cell>
          <cell r="G65">
            <v>3927.3306666666704</v>
          </cell>
          <cell r="H65">
            <v>4399.1850000000004</v>
          </cell>
          <cell r="I65">
            <v>2153.6193333333299</v>
          </cell>
          <cell r="J65">
            <v>503.60633333333305</v>
          </cell>
          <cell r="O65">
            <v>18323.907333333333</v>
          </cell>
        </row>
        <row r="66">
          <cell r="A66">
            <v>36891</v>
          </cell>
          <cell r="B66">
            <v>2436.4416129032302</v>
          </cell>
          <cell r="C66">
            <v>3464.0670967741898</v>
          </cell>
          <cell r="D66">
            <v>0</v>
          </cell>
          <cell r="E66">
            <v>0</v>
          </cell>
          <cell r="F66">
            <v>1808.2177419354803</v>
          </cell>
          <cell r="G66">
            <v>3474.0383870967703</v>
          </cell>
          <cell r="H66">
            <v>4106.9064516129001</v>
          </cell>
          <cell r="I66">
            <v>513.83612903225799</v>
          </cell>
          <cell r="J66">
            <v>3492.49096774194</v>
          </cell>
          <cell r="K66">
            <v>4639.8264516129002</v>
          </cell>
          <cell r="O66">
            <v>23935.824838709668</v>
          </cell>
        </row>
        <row r="67">
          <cell r="A67">
            <v>36922</v>
          </cell>
          <cell r="B67">
            <v>2229.3625806451601</v>
          </cell>
          <cell r="C67">
            <v>3805.0051612903203</v>
          </cell>
          <cell r="D67">
            <v>0</v>
          </cell>
          <cell r="E67">
            <v>0</v>
          </cell>
          <cell r="F67">
            <v>443.83193548387106</v>
          </cell>
          <cell r="G67">
            <v>3490.26</v>
          </cell>
          <cell r="H67">
            <v>4214.7841935483893</v>
          </cell>
          <cell r="I67">
            <v>0</v>
          </cell>
          <cell r="J67">
            <v>3269.8154838709702</v>
          </cell>
          <cell r="K67">
            <v>7817.3651612903204</v>
          </cell>
          <cell r="O67">
            <v>25270.424516129031</v>
          </cell>
        </row>
        <row r="68">
          <cell r="A68">
            <v>36950</v>
          </cell>
          <cell r="B68">
            <v>1776.2764285714302</v>
          </cell>
          <cell r="C68">
            <v>2997.7953571428602</v>
          </cell>
          <cell r="D68">
            <v>1815.5557142857101</v>
          </cell>
          <cell r="E68">
            <v>0</v>
          </cell>
          <cell r="F68">
            <v>70.18892857142859</v>
          </cell>
          <cell r="G68">
            <v>2745.8907142857097</v>
          </cell>
          <cell r="H68">
            <v>3406.1071428571404</v>
          </cell>
          <cell r="I68">
            <v>0</v>
          </cell>
          <cell r="J68">
            <v>2779.0657142857099</v>
          </cell>
          <cell r="K68">
            <v>4978.615714285711</v>
          </cell>
          <cell r="O68">
            <v>20569.495714285702</v>
          </cell>
        </row>
        <row r="69">
          <cell r="A69">
            <v>36981</v>
          </cell>
          <cell r="B69">
            <v>1665.8548387096801</v>
          </cell>
          <cell r="C69">
            <v>2529.8858064516103</v>
          </cell>
          <cell r="D69">
            <v>3042.3880645161298</v>
          </cell>
          <cell r="E69">
            <v>0</v>
          </cell>
          <cell r="F69">
            <v>26.6477419354839</v>
          </cell>
          <cell r="G69">
            <v>2200.2667741935497</v>
          </cell>
          <cell r="H69">
            <v>3645.7241935483908</v>
          </cell>
          <cell r="I69">
            <v>0</v>
          </cell>
          <cell r="J69">
            <v>5080.1567741935505</v>
          </cell>
          <cell r="K69">
            <v>4904.2238709677404</v>
          </cell>
          <cell r="O69">
            <v>23095.148064516135</v>
          </cell>
        </row>
        <row r="70">
          <cell r="A70">
            <v>37011</v>
          </cell>
          <cell r="B70">
            <v>1626.8673333333302</v>
          </cell>
          <cell r="C70">
            <v>2705.1966666666704</v>
          </cell>
          <cell r="D70">
            <v>0</v>
          </cell>
          <cell r="E70">
            <v>0</v>
          </cell>
          <cell r="F70">
            <v>1888.2180000000001</v>
          </cell>
          <cell r="G70">
            <v>2506.4590000000003</v>
          </cell>
          <cell r="H70">
            <v>3522.6076666666704</v>
          </cell>
          <cell r="I70">
            <v>0</v>
          </cell>
          <cell r="J70">
            <v>6603.7143333333306</v>
          </cell>
          <cell r="K70">
            <v>4222.0320000000002</v>
          </cell>
          <cell r="O70">
            <v>23075.095000000001</v>
          </cell>
        </row>
        <row r="71">
          <cell r="A71">
            <v>37042</v>
          </cell>
          <cell r="B71">
            <v>339.43806451612897</v>
          </cell>
          <cell r="C71">
            <v>2969.8345161290299</v>
          </cell>
          <cell r="D71">
            <v>622.85838709677398</v>
          </cell>
          <cell r="E71">
            <v>0</v>
          </cell>
          <cell r="F71">
            <v>690.680322580645</v>
          </cell>
          <cell r="G71">
            <v>2751.0648387096803</v>
          </cell>
          <cell r="H71">
            <v>3605.0919354838702</v>
          </cell>
          <cell r="I71">
            <v>0</v>
          </cell>
          <cell r="J71">
            <v>8073.5087096774205</v>
          </cell>
          <cell r="K71">
            <v>3735.0761290322603</v>
          </cell>
          <cell r="O71">
            <v>22787.552903225809</v>
          </cell>
        </row>
        <row r="72">
          <cell r="A72">
            <v>37072</v>
          </cell>
          <cell r="B72">
            <v>0</v>
          </cell>
          <cell r="C72">
            <v>2095.5163333333298</v>
          </cell>
          <cell r="D72">
            <v>3204.4986666666705</v>
          </cell>
          <cell r="E72">
            <v>0</v>
          </cell>
          <cell r="F72">
            <v>453.26466666666704</v>
          </cell>
          <cell r="G72">
            <v>2425.4813333333295</v>
          </cell>
          <cell r="H72">
            <v>3141.8336666666701</v>
          </cell>
          <cell r="I72">
            <v>0</v>
          </cell>
          <cell r="J72">
            <v>6616.491</v>
          </cell>
          <cell r="K72">
            <v>3013.2853333333296</v>
          </cell>
          <cell r="O72">
            <v>20950.370999999996</v>
          </cell>
        </row>
        <row r="73">
          <cell r="A73">
            <v>37103</v>
          </cell>
          <cell r="B73">
            <v>0</v>
          </cell>
          <cell r="C73">
            <v>2816.8161290322601</v>
          </cell>
          <cell r="D73">
            <v>2737.5270967741899</v>
          </cell>
          <cell r="E73">
            <v>0</v>
          </cell>
          <cell r="F73">
            <v>0</v>
          </cell>
          <cell r="G73">
            <v>2330.5167741935497</v>
          </cell>
          <cell r="H73">
            <v>3303.3916129032305</v>
          </cell>
          <cell r="I73">
            <v>0</v>
          </cell>
          <cell r="J73">
            <v>7829.3925806451598</v>
          </cell>
          <cell r="K73">
            <v>3155.75677419355</v>
          </cell>
          <cell r="O73">
            <v>22173.400967741938</v>
          </cell>
        </row>
        <row r="74">
          <cell r="A74">
            <v>37134</v>
          </cell>
          <cell r="B74">
            <v>0</v>
          </cell>
          <cell r="C74">
            <v>2963.4338709677404</v>
          </cell>
          <cell r="D74">
            <v>2453.8345161290299</v>
          </cell>
          <cell r="E74">
            <v>0</v>
          </cell>
          <cell r="F74">
            <v>103.003548387097</v>
          </cell>
          <cell r="G74">
            <v>2392.03967741935</v>
          </cell>
          <cell r="H74">
            <v>3398.6180645161298</v>
          </cell>
          <cell r="I74">
            <v>0</v>
          </cell>
          <cell r="J74">
            <v>7991.6048387096798</v>
          </cell>
          <cell r="K74">
            <v>3048.1390322580601</v>
          </cell>
          <cell r="O74">
            <v>22350.673548387083</v>
          </cell>
        </row>
        <row r="75">
          <cell r="A75">
            <v>37164</v>
          </cell>
          <cell r="B75">
            <v>0</v>
          </cell>
          <cell r="C75">
            <v>2125.6576666666701</v>
          </cell>
          <cell r="D75">
            <v>2632.6013333333299</v>
          </cell>
          <cell r="E75">
            <v>0</v>
          </cell>
          <cell r="F75">
            <v>1817.2396666666702</v>
          </cell>
          <cell r="G75">
            <v>2238.0036666666701</v>
          </cell>
          <cell r="H75">
            <v>3334.0750000000003</v>
          </cell>
          <cell r="I75">
            <v>0</v>
          </cell>
          <cell r="J75">
            <v>7147.42133333333</v>
          </cell>
          <cell r="K75">
            <v>2880.2836666666703</v>
          </cell>
          <cell r="O75">
            <v>22175.282333333344</v>
          </cell>
        </row>
        <row r="76">
          <cell r="A76">
            <v>37195</v>
          </cell>
          <cell r="B76">
            <v>0</v>
          </cell>
          <cell r="C76">
            <v>2721.5183870967703</v>
          </cell>
          <cell r="D76">
            <v>1735.69451612903</v>
          </cell>
          <cell r="E76">
            <v>0</v>
          </cell>
          <cell r="F76">
            <v>834.54741935483901</v>
          </cell>
          <cell r="G76">
            <v>1267.2835483871002</v>
          </cell>
          <cell r="H76">
            <v>2897.2929032258098</v>
          </cell>
          <cell r="I76">
            <v>1000.9796774193501</v>
          </cell>
          <cell r="J76">
            <v>5220.5629032258094</v>
          </cell>
          <cell r="K76">
            <v>1962.7809677419402</v>
          </cell>
          <cell r="L76">
            <v>9057.9867741935504</v>
          </cell>
          <cell r="O76">
            <v>26698.647096774199</v>
          </cell>
        </row>
        <row r="77">
          <cell r="A77">
            <v>37225</v>
          </cell>
          <cell r="B77">
            <v>0</v>
          </cell>
          <cell r="C77">
            <v>3426.7675903348068</v>
          </cell>
          <cell r="D77">
            <v>800.71915673644753</v>
          </cell>
          <cell r="E77">
            <v>0</v>
          </cell>
          <cell r="F77">
            <v>3414.313133300805</v>
          </cell>
          <cell r="G77">
            <v>1480.092149848708</v>
          </cell>
          <cell r="H77">
            <v>2809.7946528436682</v>
          </cell>
          <cell r="I77">
            <v>2255.7883347946017</v>
          </cell>
          <cell r="J77">
            <v>4854.0295624243045</v>
          </cell>
          <cell r="K77">
            <v>2178.0469732202637</v>
          </cell>
          <cell r="L77">
            <v>10236.143045346233</v>
          </cell>
          <cell r="O77">
            <v>31455.694598849834</v>
          </cell>
        </row>
        <row r="78">
          <cell r="A78">
            <v>37256</v>
          </cell>
          <cell r="B78">
            <v>0</v>
          </cell>
          <cell r="C78">
            <v>3607.3627787928726</v>
          </cell>
          <cell r="D78">
            <v>2402.3231330833987</v>
          </cell>
          <cell r="E78">
            <v>0</v>
          </cell>
          <cell r="F78">
            <v>4218.40527072228</v>
          </cell>
          <cell r="G78">
            <v>1893.8574029073136</v>
          </cell>
          <cell r="H78">
            <v>2508.1833737698539</v>
          </cell>
          <cell r="I78">
            <v>22.060836602016892</v>
          </cell>
          <cell r="J78">
            <v>4587.6610651345291</v>
          </cell>
          <cell r="K78">
            <v>2395.0737938814996</v>
          </cell>
          <cell r="L78">
            <v>10231.465602474424</v>
          </cell>
          <cell r="O78">
            <v>31866.393257368189</v>
          </cell>
        </row>
        <row r="79">
          <cell r="A79">
            <v>37287</v>
          </cell>
          <cell r="B79">
            <v>0</v>
          </cell>
          <cell r="C79">
            <v>3270.8882428675556</v>
          </cell>
          <cell r="D79">
            <v>2406.325210724211</v>
          </cell>
          <cell r="E79">
            <v>0</v>
          </cell>
          <cell r="F79">
            <v>4739.7776617051977</v>
          </cell>
          <cell r="G79">
            <v>1889.7618553468394</v>
          </cell>
          <cell r="H79">
            <v>2260.6284277578961</v>
          </cell>
          <cell r="I79">
            <v>81.987853318810735</v>
          </cell>
          <cell r="J79">
            <v>4358.7384121744408</v>
          </cell>
          <cell r="K79">
            <v>2905.0945390886259</v>
          </cell>
          <cell r="L79">
            <v>8533.0595782476976</v>
          </cell>
          <cell r="O79">
            <v>30446.261781231275</v>
          </cell>
        </row>
        <row r="80">
          <cell r="A80">
            <v>37315</v>
          </cell>
          <cell r="B80">
            <v>0</v>
          </cell>
          <cell r="C80">
            <v>3323.9708533163184</v>
          </cell>
          <cell r="D80">
            <v>2294.8971009868196</v>
          </cell>
          <cell r="E80">
            <v>0</v>
          </cell>
          <cell r="F80">
            <v>4354.6690311531138</v>
          </cell>
          <cell r="G80">
            <v>1583.6313499734279</v>
          </cell>
          <cell r="H80">
            <v>2194.4038447348398</v>
          </cell>
          <cell r="I80">
            <v>380.74087046182251</v>
          </cell>
          <cell r="J80">
            <v>3543.2289040396108</v>
          </cell>
          <cell r="K80">
            <v>2986.8671089653481</v>
          </cell>
          <cell r="L80">
            <v>7154.6709289157352</v>
          </cell>
          <cell r="O80">
            <v>27817.079992547035</v>
          </cell>
        </row>
        <row r="81">
          <cell r="A81">
            <v>37346</v>
          </cell>
          <cell r="B81">
            <v>0</v>
          </cell>
          <cell r="C81">
            <v>3403.3650881065282</v>
          </cell>
          <cell r="D81">
            <v>2186.9013843325183</v>
          </cell>
          <cell r="E81">
            <v>0</v>
          </cell>
          <cell r="F81">
            <v>4135.9418731656997</v>
          </cell>
          <cell r="G81">
            <v>1334.2860013457873</v>
          </cell>
          <cell r="H81">
            <v>2013.8829678793018</v>
          </cell>
          <cell r="I81">
            <v>1.4789270730048314</v>
          </cell>
          <cell r="J81">
            <v>3839.4850003157044</v>
          </cell>
          <cell r="K81">
            <v>2898.1660843812119</v>
          </cell>
          <cell r="L81">
            <v>6506.2129862265629</v>
          </cell>
          <cell r="O81">
            <v>26319.720312826321</v>
          </cell>
        </row>
        <row r="82">
          <cell r="A82">
            <v>37376</v>
          </cell>
        </row>
        <row r="86">
          <cell r="A86">
            <v>35095</v>
          </cell>
          <cell r="G86">
            <v>0</v>
          </cell>
          <cell r="O86">
            <v>0</v>
          </cell>
        </row>
        <row r="87">
          <cell r="A87">
            <v>35124</v>
          </cell>
          <cell r="D87">
            <v>0</v>
          </cell>
          <cell r="G87">
            <v>0</v>
          </cell>
          <cell r="O87">
            <v>0</v>
          </cell>
        </row>
        <row r="88">
          <cell r="A88">
            <v>35155</v>
          </cell>
          <cell r="B88">
            <v>0</v>
          </cell>
          <cell r="C88">
            <v>0</v>
          </cell>
          <cell r="D88">
            <v>0</v>
          </cell>
          <cell r="F88">
            <v>0</v>
          </cell>
          <cell r="G88">
            <v>0</v>
          </cell>
          <cell r="O88">
            <v>0</v>
          </cell>
        </row>
        <row r="89">
          <cell r="A89">
            <v>35185</v>
          </cell>
          <cell r="B89">
            <v>0</v>
          </cell>
          <cell r="C89">
            <v>0</v>
          </cell>
          <cell r="D89">
            <v>0</v>
          </cell>
          <cell r="E89">
            <v>0</v>
          </cell>
          <cell r="F89">
            <v>0</v>
          </cell>
          <cell r="G89">
            <v>0</v>
          </cell>
          <cell r="O89">
            <v>0</v>
          </cell>
        </row>
        <row r="90">
          <cell r="A90">
            <v>35216</v>
          </cell>
          <cell r="B90">
            <v>0</v>
          </cell>
          <cell r="C90">
            <v>0</v>
          </cell>
          <cell r="D90">
            <v>0</v>
          </cell>
          <cell r="E90">
            <v>0</v>
          </cell>
          <cell r="F90">
            <v>0</v>
          </cell>
          <cell r="G90">
            <v>0</v>
          </cell>
          <cell r="O90">
            <v>0</v>
          </cell>
        </row>
        <row r="91">
          <cell r="A91">
            <v>35246</v>
          </cell>
          <cell r="B91">
            <v>0</v>
          </cell>
          <cell r="C91">
            <v>0</v>
          </cell>
          <cell r="D91">
            <v>0</v>
          </cell>
          <cell r="E91">
            <v>0</v>
          </cell>
          <cell r="F91">
            <v>0</v>
          </cell>
          <cell r="G91">
            <v>0</v>
          </cell>
          <cell r="O91">
            <v>0</v>
          </cell>
        </row>
        <row r="92">
          <cell r="A92">
            <v>35277</v>
          </cell>
          <cell r="B92">
            <v>0</v>
          </cell>
          <cell r="C92">
            <v>0</v>
          </cell>
          <cell r="D92">
            <v>0</v>
          </cell>
          <cell r="E92">
            <v>0</v>
          </cell>
          <cell r="F92">
            <v>0</v>
          </cell>
          <cell r="G92">
            <v>0</v>
          </cell>
          <cell r="O92">
            <v>0</v>
          </cell>
        </row>
        <row r="93">
          <cell r="A93">
            <v>35308</v>
          </cell>
          <cell r="B93">
            <v>0</v>
          </cell>
          <cell r="C93">
            <v>0</v>
          </cell>
          <cell r="D93">
            <v>0</v>
          </cell>
          <cell r="E93">
            <v>0</v>
          </cell>
          <cell r="F93">
            <v>0</v>
          </cell>
          <cell r="G93">
            <v>0</v>
          </cell>
          <cell r="O93">
            <v>0</v>
          </cell>
        </row>
        <row r="94">
          <cell r="A94">
            <v>35338</v>
          </cell>
          <cell r="B94">
            <v>0</v>
          </cell>
          <cell r="C94">
            <v>0</v>
          </cell>
          <cell r="D94">
            <v>0</v>
          </cell>
          <cell r="E94">
            <v>0</v>
          </cell>
          <cell r="F94">
            <v>0</v>
          </cell>
          <cell r="G94">
            <v>0</v>
          </cell>
          <cell r="O94">
            <v>0</v>
          </cell>
        </row>
        <row r="95">
          <cell r="A95">
            <v>35369</v>
          </cell>
          <cell r="B95">
            <v>0</v>
          </cell>
          <cell r="C95">
            <v>0</v>
          </cell>
          <cell r="D95">
            <v>0</v>
          </cell>
          <cell r="E95">
            <v>0</v>
          </cell>
          <cell r="F95">
            <v>0</v>
          </cell>
          <cell r="G95">
            <v>0</v>
          </cell>
          <cell r="O95">
            <v>0</v>
          </cell>
        </row>
        <row r="96">
          <cell r="A96">
            <v>35399</v>
          </cell>
          <cell r="B96">
            <v>0</v>
          </cell>
          <cell r="C96">
            <v>0</v>
          </cell>
          <cell r="D96">
            <v>0</v>
          </cell>
          <cell r="E96">
            <v>0</v>
          </cell>
          <cell r="F96">
            <v>0</v>
          </cell>
          <cell r="G96">
            <v>0</v>
          </cell>
          <cell r="O96">
            <v>0</v>
          </cell>
        </row>
        <row r="97">
          <cell r="A97">
            <v>35430</v>
          </cell>
          <cell r="B97">
            <v>6.93096774193548</v>
          </cell>
          <cell r="C97">
            <v>0</v>
          </cell>
          <cell r="D97">
            <v>49.902580645161301</v>
          </cell>
          <cell r="E97">
            <v>24.199677419354799</v>
          </cell>
          <cell r="F97">
            <v>0</v>
          </cell>
          <cell r="G97">
            <v>47.145161290322598</v>
          </cell>
          <cell r="O97">
            <v>128.17838709677417</v>
          </cell>
        </row>
        <row r="98">
          <cell r="A98">
            <v>35461</v>
          </cell>
          <cell r="B98">
            <v>2.4193548387096801E-2</v>
          </cell>
          <cell r="C98">
            <v>0</v>
          </cell>
          <cell r="D98">
            <v>13.484516129032299</v>
          </cell>
          <cell r="E98">
            <v>0</v>
          </cell>
          <cell r="F98">
            <v>0</v>
          </cell>
          <cell r="G98">
            <v>13.991935483871</v>
          </cell>
          <cell r="O98">
            <v>27.500645161290393</v>
          </cell>
        </row>
        <row r="99">
          <cell r="A99">
            <v>35489</v>
          </cell>
          <cell r="B99">
            <v>0</v>
          </cell>
          <cell r="C99">
            <v>0</v>
          </cell>
          <cell r="D99">
            <v>5.9214285714285699</v>
          </cell>
          <cell r="E99">
            <v>2.2574999999999998</v>
          </cell>
          <cell r="F99">
            <v>7.7521428571428599</v>
          </cell>
          <cell r="G99">
            <v>43.116785714285705</v>
          </cell>
          <cell r="H99">
            <v>0</v>
          </cell>
          <cell r="O99">
            <v>59.047857142857133</v>
          </cell>
        </row>
        <row r="100">
          <cell r="A100">
            <v>35520</v>
          </cell>
          <cell r="B100">
            <v>0</v>
          </cell>
          <cell r="C100">
            <v>0</v>
          </cell>
          <cell r="D100">
            <v>26.484193548387097</v>
          </cell>
          <cell r="E100">
            <v>1.0774193548387099</v>
          </cell>
          <cell r="F100">
            <v>18.790322580645199</v>
          </cell>
          <cell r="G100">
            <v>19.269032258064499</v>
          </cell>
          <cell r="H100">
            <v>0</v>
          </cell>
          <cell r="I100">
            <v>0</v>
          </cell>
          <cell r="O100">
            <v>65.620967741935502</v>
          </cell>
        </row>
        <row r="101">
          <cell r="A101">
            <v>35550</v>
          </cell>
          <cell r="B101">
            <v>61.902333333333303</v>
          </cell>
          <cell r="C101">
            <v>0</v>
          </cell>
          <cell r="D101">
            <v>0</v>
          </cell>
          <cell r="E101">
            <v>4.0926666666666689</v>
          </cell>
          <cell r="F101">
            <v>60.319333333333304</v>
          </cell>
          <cell r="G101">
            <v>45.506666666666696</v>
          </cell>
          <cell r="H101">
            <v>0</v>
          </cell>
          <cell r="I101">
            <v>0</v>
          </cell>
          <cell r="O101">
            <v>171.82099999999997</v>
          </cell>
        </row>
        <row r="102">
          <cell r="A102">
            <v>35581</v>
          </cell>
          <cell r="B102">
            <v>778.05774193548405</v>
          </cell>
          <cell r="C102">
            <v>0</v>
          </cell>
          <cell r="D102">
            <v>100.43612903225801</v>
          </cell>
          <cell r="E102">
            <v>4.5125806451612895</v>
          </cell>
          <cell r="F102">
            <v>12.891935483871</v>
          </cell>
          <cell r="G102">
            <v>427.26064516129003</v>
          </cell>
          <cell r="H102">
            <v>0</v>
          </cell>
          <cell r="I102">
            <v>0</v>
          </cell>
          <cell r="O102">
            <v>1323.1590322580644</v>
          </cell>
        </row>
        <row r="103">
          <cell r="A103">
            <v>35611</v>
          </cell>
          <cell r="B103">
            <v>1260.1593333333301</v>
          </cell>
          <cell r="C103">
            <v>0</v>
          </cell>
          <cell r="D103">
            <v>544.1523333333331</v>
          </cell>
          <cell r="E103">
            <v>5.5873333333333299</v>
          </cell>
          <cell r="F103">
            <v>2.7423333333333297</v>
          </cell>
          <cell r="G103">
            <v>809.27633333333301</v>
          </cell>
          <cell r="H103">
            <v>0</v>
          </cell>
          <cell r="I103">
            <v>0</v>
          </cell>
          <cell r="O103">
            <v>2621.9176666666631</v>
          </cell>
        </row>
        <row r="104">
          <cell r="A104">
            <v>35642</v>
          </cell>
          <cell r="B104">
            <v>349.18806451612903</v>
          </cell>
          <cell r="C104">
            <v>0</v>
          </cell>
          <cell r="D104">
            <v>835.35580645161303</v>
          </cell>
          <cell r="E104">
            <v>5.7664516129032295</v>
          </cell>
          <cell r="F104">
            <v>3.1041935483871002</v>
          </cell>
          <cell r="G104">
            <v>1392.2922580645202</v>
          </cell>
          <cell r="H104">
            <v>0</v>
          </cell>
          <cell r="I104">
            <v>38.783870967741905</v>
          </cell>
          <cell r="O104">
            <v>2624.4906451612942</v>
          </cell>
        </row>
        <row r="105">
          <cell r="A105">
            <v>35673</v>
          </cell>
          <cell r="B105">
            <v>328.74419354838699</v>
          </cell>
          <cell r="C105">
            <v>0</v>
          </cell>
          <cell r="D105">
            <v>303.58290322580598</v>
          </cell>
          <cell r="E105">
            <v>4.8532258064516105</v>
          </cell>
          <cell r="F105">
            <v>0.67161290322580602</v>
          </cell>
          <cell r="G105">
            <v>108.669677419355</v>
          </cell>
          <cell r="H105">
            <v>0</v>
          </cell>
          <cell r="I105">
            <v>39.820645161290301</v>
          </cell>
          <cell r="O105">
            <v>786.3422580645157</v>
          </cell>
        </row>
        <row r="106">
          <cell r="A106">
            <v>35703</v>
          </cell>
          <cell r="B106">
            <v>580.7236666666671</v>
          </cell>
          <cell r="C106">
            <v>0</v>
          </cell>
          <cell r="D106">
            <v>743.61700000000008</v>
          </cell>
          <cell r="E106">
            <v>5.5516666666666694</v>
          </cell>
          <cell r="F106">
            <v>0</v>
          </cell>
          <cell r="G106">
            <v>0</v>
          </cell>
          <cell r="H106">
            <v>0</v>
          </cell>
          <cell r="I106">
            <v>9.9796666666666702</v>
          </cell>
          <cell r="O106">
            <v>1339.8720000000005</v>
          </cell>
        </row>
        <row r="107">
          <cell r="A107">
            <v>35734</v>
          </cell>
          <cell r="B107">
            <v>1324.0558064516101</v>
          </cell>
          <cell r="C107">
            <v>0</v>
          </cell>
          <cell r="D107">
            <v>1994.77096774194</v>
          </cell>
          <cell r="E107">
            <v>11.409032258064499</v>
          </cell>
          <cell r="F107">
            <v>0</v>
          </cell>
          <cell r="G107">
            <v>0</v>
          </cell>
          <cell r="H107">
            <v>600.942580645161</v>
          </cell>
          <cell r="I107">
            <v>0</v>
          </cell>
          <cell r="O107">
            <v>3931.1783870967756</v>
          </cell>
        </row>
        <row r="108">
          <cell r="A108">
            <v>35764</v>
          </cell>
          <cell r="B108">
            <v>1806.029</v>
          </cell>
          <cell r="C108">
            <v>0</v>
          </cell>
          <cell r="D108">
            <v>2726.2346666666704</v>
          </cell>
          <cell r="E108">
            <v>17.590666666666699</v>
          </cell>
          <cell r="F108">
            <v>0</v>
          </cell>
          <cell r="G108">
            <v>0</v>
          </cell>
          <cell r="H108">
            <v>1653.8553333333302</v>
          </cell>
          <cell r="I108">
            <v>2.6816666666666702</v>
          </cell>
          <cell r="O108">
            <v>6206.3913333333339</v>
          </cell>
        </row>
        <row r="109">
          <cell r="A109">
            <v>35795</v>
          </cell>
          <cell r="B109">
            <v>2091.9138709677404</v>
          </cell>
          <cell r="C109">
            <v>0</v>
          </cell>
          <cell r="D109">
            <v>2674.33</v>
          </cell>
          <cell r="E109">
            <v>6.3080645161290301</v>
          </cell>
          <cell r="F109">
            <v>0</v>
          </cell>
          <cell r="G109">
            <v>0</v>
          </cell>
          <cell r="H109">
            <v>2382.4829032258099</v>
          </cell>
          <cell r="I109">
            <v>12.638387096774201</v>
          </cell>
          <cell r="O109">
            <v>7167.673225806454</v>
          </cell>
        </row>
        <row r="110">
          <cell r="A110">
            <v>35826</v>
          </cell>
          <cell r="B110">
            <v>1948.4209677419401</v>
          </cell>
          <cell r="C110">
            <v>0</v>
          </cell>
          <cell r="D110">
            <v>3033.40709677419</v>
          </cell>
          <cell r="E110">
            <v>105.10483870967701</v>
          </cell>
          <cell r="F110">
            <v>0</v>
          </cell>
          <cell r="G110">
            <v>0</v>
          </cell>
          <cell r="H110">
            <v>2123.4441935483906</v>
          </cell>
          <cell r="I110">
            <v>2.4348387096774204</v>
          </cell>
          <cell r="O110">
            <v>7212.8119354838755</v>
          </cell>
        </row>
        <row r="111">
          <cell r="A111">
            <v>35854</v>
          </cell>
          <cell r="B111">
            <v>1673.2739285714301</v>
          </cell>
          <cell r="C111">
            <v>0</v>
          </cell>
          <cell r="D111">
            <v>1704.9585714285702</v>
          </cell>
          <cell r="E111">
            <v>153.17250000000001</v>
          </cell>
          <cell r="F111">
            <v>0</v>
          </cell>
          <cell r="G111">
            <v>0</v>
          </cell>
          <cell r="H111">
            <v>2513.5971428571402</v>
          </cell>
          <cell r="I111">
            <v>0.82214285714285695</v>
          </cell>
          <cell r="O111">
            <v>6045.8242857142832</v>
          </cell>
        </row>
        <row r="112">
          <cell r="A112">
            <v>35885</v>
          </cell>
          <cell r="B112">
            <v>0</v>
          </cell>
          <cell r="C112">
            <v>0</v>
          </cell>
          <cell r="D112">
            <v>1.0916129032258099</v>
          </cell>
          <cell r="E112">
            <v>164.37903225806502</v>
          </cell>
          <cell r="F112">
            <v>0</v>
          </cell>
          <cell r="G112">
            <v>0</v>
          </cell>
          <cell r="H112">
            <v>2438.8558064516105</v>
          </cell>
          <cell r="I112">
            <v>0</v>
          </cell>
          <cell r="O112">
            <v>2604.3264516129016</v>
          </cell>
        </row>
        <row r="113">
          <cell r="A113">
            <v>35915</v>
          </cell>
          <cell r="B113">
            <v>0</v>
          </cell>
          <cell r="C113">
            <v>0</v>
          </cell>
          <cell r="D113">
            <v>642.99066666666715</v>
          </cell>
          <cell r="E113">
            <v>107.411</v>
          </cell>
          <cell r="F113">
            <v>617.07866666666712</v>
          </cell>
          <cell r="G113">
            <v>88.481000000000009</v>
          </cell>
          <cell r="H113">
            <v>3829.8906666666703</v>
          </cell>
          <cell r="I113">
            <v>0</v>
          </cell>
          <cell r="O113">
            <v>5285.8520000000044</v>
          </cell>
        </row>
        <row r="114">
          <cell r="A114">
            <v>35946</v>
          </cell>
          <cell r="B114">
            <v>679.0012903225811</v>
          </cell>
          <cell r="C114">
            <v>0</v>
          </cell>
          <cell r="D114">
            <v>2744.6906451612904</v>
          </cell>
          <cell r="E114">
            <v>0</v>
          </cell>
          <cell r="F114">
            <v>582.23354838709702</v>
          </cell>
          <cell r="G114">
            <v>1281.84516129032</v>
          </cell>
          <cell r="H114">
            <v>3861.68806451613</v>
          </cell>
          <cell r="I114">
            <v>0</v>
          </cell>
          <cell r="O114">
            <v>9149.4587096774194</v>
          </cell>
        </row>
        <row r="115">
          <cell r="A115">
            <v>35976</v>
          </cell>
          <cell r="B115">
            <v>2097.2073333333296</v>
          </cell>
          <cell r="C115">
            <v>0</v>
          </cell>
          <cell r="D115">
            <v>1602.7066666666701</v>
          </cell>
          <cell r="E115">
            <v>0</v>
          </cell>
          <cell r="F115">
            <v>405.39499999999998</v>
          </cell>
          <cell r="G115">
            <v>1179.1296666666701</v>
          </cell>
          <cell r="H115">
            <v>2895.0320000000002</v>
          </cell>
          <cell r="I115">
            <v>0.50333333333333297</v>
          </cell>
          <cell r="O115">
            <v>8179.9740000000029</v>
          </cell>
        </row>
        <row r="116">
          <cell r="A116">
            <v>36007</v>
          </cell>
          <cell r="B116">
            <v>287.84612903225803</v>
          </cell>
          <cell r="C116">
            <v>0</v>
          </cell>
          <cell r="D116">
            <v>238.059032258065</v>
          </cell>
          <cell r="E116">
            <v>0</v>
          </cell>
          <cell r="F116">
            <v>0</v>
          </cell>
          <cell r="G116">
            <v>136.70612903225802</v>
          </cell>
          <cell r="H116">
            <v>353.26806451612902</v>
          </cell>
          <cell r="I116">
            <v>6.4177419354838694</v>
          </cell>
          <cell r="O116">
            <v>1022.2970967741938</v>
          </cell>
        </row>
        <row r="117">
          <cell r="A117">
            <v>36038</v>
          </cell>
          <cell r="B117">
            <v>3364.2777419354798</v>
          </cell>
          <cell r="C117">
            <v>4.2241935483870998</v>
          </cell>
          <cell r="D117">
            <v>3605.86516129032</v>
          </cell>
          <cell r="E117">
            <v>0</v>
          </cell>
          <cell r="F117">
            <v>544.20064516129003</v>
          </cell>
          <cell r="G117">
            <v>1787.7529032258103</v>
          </cell>
          <cell r="H117">
            <v>2015.9816129032301</v>
          </cell>
          <cell r="I117">
            <v>203.93</v>
          </cell>
          <cell r="O117">
            <v>11526.232258064518</v>
          </cell>
        </row>
        <row r="118">
          <cell r="A118">
            <v>36068</v>
          </cell>
          <cell r="B118">
            <v>3818.5313333333297</v>
          </cell>
          <cell r="C118">
            <v>8.7366666666666699</v>
          </cell>
          <cell r="D118">
            <v>3870.1163333333297</v>
          </cell>
          <cell r="E118">
            <v>0.77166666666666706</v>
          </cell>
          <cell r="F118">
            <v>1728.8046666666703</v>
          </cell>
          <cell r="G118">
            <v>3376.5716666666704</v>
          </cell>
          <cell r="H118">
            <v>0</v>
          </cell>
          <cell r="I118">
            <v>701.99099999999999</v>
          </cell>
          <cell r="O118">
            <v>13505.523333333333</v>
          </cell>
        </row>
        <row r="119">
          <cell r="A119">
            <v>36099</v>
          </cell>
          <cell r="B119">
            <v>3046.40064516129</v>
          </cell>
          <cell r="C119">
            <v>10.088064516128998</v>
          </cell>
          <cell r="D119">
            <v>1334.0483870967701</v>
          </cell>
          <cell r="E119">
            <v>31.615483870967697</v>
          </cell>
          <cell r="F119">
            <v>21.008064516129</v>
          </cell>
          <cell r="G119">
            <v>2999.2048387096802</v>
          </cell>
          <cell r="H119">
            <v>0</v>
          </cell>
          <cell r="I119">
            <v>1152.3641935483899</v>
          </cell>
          <cell r="O119">
            <v>8594.7296774193564</v>
          </cell>
        </row>
        <row r="120">
          <cell r="A120">
            <v>36129</v>
          </cell>
          <cell r="B120">
            <v>600.56366666666713</v>
          </cell>
          <cell r="C120">
            <v>12.978</v>
          </cell>
          <cell r="D120">
            <v>0</v>
          </cell>
          <cell r="E120">
            <v>0</v>
          </cell>
          <cell r="F120">
            <v>1.2853333333333299</v>
          </cell>
          <cell r="G120">
            <v>3854.4796666666703</v>
          </cell>
          <cell r="H120">
            <v>0</v>
          </cell>
          <cell r="I120">
            <v>1520.9560000000001</v>
          </cell>
          <cell r="O120">
            <v>5990.2626666666711</v>
          </cell>
        </row>
        <row r="121">
          <cell r="A121">
            <v>36160</v>
          </cell>
          <cell r="B121">
            <v>0</v>
          </cell>
          <cell r="C121">
            <v>13.232903225806499</v>
          </cell>
          <cell r="D121">
            <v>0</v>
          </cell>
          <cell r="E121">
            <v>0</v>
          </cell>
          <cell r="F121">
            <v>0</v>
          </cell>
          <cell r="G121">
            <v>5147.3151612903202</v>
          </cell>
          <cell r="H121">
            <v>0</v>
          </cell>
          <cell r="I121">
            <v>1819.1125806451603</v>
          </cell>
          <cell r="O121">
            <v>6979.660645161287</v>
          </cell>
        </row>
        <row r="122">
          <cell r="A122">
            <v>36191</v>
          </cell>
          <cell r="B122">
            <v>352.00419354838698</v>
          </cell>
          <cell r="C122">
            <v>49.3690322580645</v>
          </cell>
          <cell r="D122">
            <v>0</v>
          </cell>
          <cell r="E122">
            <v>0</v>
          </cell>
          <cell r="F122">
            <v>152.28225806451601</v>
          </cell>
          <cell r="G122">
            <v>4087.15935483871</v>
          </cell>
          <cell r="H122">
            <v>0</v>
          </cell>
          <cell r="I122">
            <v>1805.7112903225802</v>
          </cell>
          <cell r="O122">
            <v>6446.5261290322578</v>
          </cell>
        </row>
        <row r="123">
          <cell r="A123">
            <v>36219</v>
          </cell>
          <cell r="B123">
            <v>2649.1492857142903</v>
          </cell>
          <cell r="C123">
            <v>315.47214285714301</v>
          </cell>
          <cell r="D123">
            <v>1456.5021428571401</v>
          </cell>
          <cell r="E123">
            <v>0</v>
          </cell>
          <cell r="F123">
            <v>1264.0767857142901</v>
          </cell>
          <cell r="G123">
            <v>0</v>
          </cell>
          <cell r="H123">
            <v>208.123214285714</v>
          </cell>
          <cell r="I123">
            <v>1907.1985714285702</v>
          </cell>
          <cell r="O123">
            <v>7800.5221428571476</v>
          </cell>
        </row>
        <row r="124">
          <cell r="A124">
            <v>36250</v>
          </cell>
          <cell r="B124">
            <v>546.09354838709703</v>
          </cell>
          <cell r="C124">
            <v>51.0651612903226</v>
          </cell>
          <cell r="D124">
            <v>259.25580645161307</v>
          </cell>
          <cell r="E124">
            <v>0</v>
          </cell>
          <cell r="F124">
            <v>279.01387096774204</v>
          </cell>
          <cell r="G124">
            <v>0</v>
          </cell>
          <cell r="H124">
            <v>77.040000000000006</v>
          </cell>
          <cell r="I124">
            <v>340.31741935483905</v>
          </cell>
          <cell r="O124">
            <v>1552.7858064516138</v>
          </cell>
        </row>
        <row r="125">
          <cell r="A125">
            <v>36280</v>
          </cell>
          <cell r="B125">
            <v>4.7720000000000002</v>
          </cell>
          <cell r="C125">
            <v>9.1370000000000005</v>
          </cell>
          <cell r="D125">
            <v>15.146000000000001</v>
          </cell>
          <cell r="E125">
            <v>0</v>
          </cell>
          <cell r="F125">
            <v>49.412666666666695</v>
          </cell>
          <cell r="G125">
            <v>0</v>
          </cell>
          <cell r="H125">
            <v>3.4280000000000004</v>
          </cell>
          <cell r="I125">
            <v>0</v>
          </cell>
          <cell r="O125">
            <v>81.895666666666699</v>
          </cell>
        </row>
        <row r="126">
          <cell r="A126">
            <v>36311</v>
          </cell>
          <cell r="B126">
            <v>0</v>
          </cell>
          <cell r="C126">
            <v>531.86032258064506</v>
          </cell>
          <cell r="D126">
            <v>46.595161290322601</v>
          </cell>
          <cell r="E126">
            <v>0</v>
          </cell>
          <cell r="F126">
            <v>751.81096774193509</v>
          </cell>
          <cell r="G126">
            <v>0</v>
          </cell>
          <cell r="H126">
            <v>942.39419354838708</v>
          </cell>
          <cell r="I126">
            <v>0</v>
          </cell>
          <cell r="J126">
            <v>0</v>
          </cell>
          <cell r="O126">
            <v>2272.6606451612897</v>
          </cell>
        </row>
        <row r="127">
          <cell r="A127">
            <v>36341</v>
          </cell>
          <cell r="B127">
            <v>1027.8096666666702</v>
          </cell>
          <cell r="C127">
            <v>939.19033333333311</v>
          </cell>
          <cell r="D127">
            <v>975.04633333333311</v>
          </cell>
          <cell r="E127">
            <v>0</v>
          </cell>
          <cell r="F127">
            <v>1727.7943333333301</v>
          </cell>
          <cell r="G127">
            <v>0</v>
          </cell>
          <cell r="H127">
            <v>1484.9593333333301</v>
          </cell>
          <cell r="I127">
            <v>0</v>
          </cell>
          <cell r="J127">
            <v>0</v>
          </cell>
          <cell r="O127">
            <v>6154.7999999999975</v>
          </cell>
        </row>
        <row r="128">
          <cell r="A128">
            <v>36372</v>
          </cell>
          <cell r="B128">
            <v>2237.7258064516104</v>
          </cell>
          <cell r="C128">
            <v>1797.4474193548401</v>
          </cell>
          <cell r="D128">
            <v>4076.2861290322603</v>
          </cell>
          <cell r="E128">
            <v>0</v>
          </cell>
          <cell r="F128">
            <v>0</v>
          </cell>
          <cell r="G128">
            <v>1254.8254838709702</v>
          </cell>
          <cell r="H128">
            <v>4168.4541935483894</v>
          </cell>
          <cell r="I128">
            <v>484.64</v>
          </cell>
          <cell r="J128">
            <v>0</v>
          </cell>
          <cell r="O128">
            <v>14019.379032258072</v>
          </cell>
        </row>
        <row r="129">
          <cell r="A129">
            <v>36403</v>
          </cell>
          <cell r="B129">
            <v>2589.7564516129</v>
          </cell>
          <cell r="C129">
            <v>1499.71806451613</v>
          </cell>
          <cell r="D129">
            <v>4031.6306451612904</v>
          </cell>
          <cell r="E129">
            <v>0</v>
          </cell>
          <cell r="F129">
            <v>0</v>
          </cell>
          <cell r="G129">
            <v>4454.6264516129004</v>
          </cell>
          <cell r="H129">
            <v>3983.4283870967702</v>
          </cell>
          <cell r="I129">
            <v>263.79451612903205</v>
          </cell>
          <cell r="J129">
            <v>0</v>
          </cell>
          <cell r="O129">
            <v>16822.954516129026</v>
          </cell>
        </row>
        <row r="130">
          <cell r="A130">
            <v>36433</v>
          </cell>
          <cell r="B130">
            <v>2647.828</v>
          </cell>
          <cell r="C130">
            <v>951.20166666666717</v>
          </cell>
          <cell r="D130">
            <v>2791.7933333333299</v>
          </cell>
          <cell r="E130">
            <v>0</v>
          </cell>
          <cell r="F130">
            <v>0</v>
          </cell>
          <cell r="G130">
            <v>3339.7260000000001</v>
          </cell>
          <cell r="H130">
            <v>3168.3496666666701</v>
          </cell>
          <cell r="I130">
            <v>0</v>
          </cell>
          <cell r="J130">
            <v>0</v>
          </cell>
          <cell r="O130">
            <v>12898.898666666668</v>
          </cell>
        </row>
        <row r="131">
          <cell r="A131">
            <v>36464</v>
          </cell>
          <cell r="B131">
            <v>4120.7916129032301</v>
          </cell>
          <cell r="C131">
            <v>1582.7212903225802</v>
          </cell>
          <cell r="D131">
            <v>4794.0570967741896</v>
          </cell>
          <cell r="E131">
            <v>0</v>
          </cell>
          <cell r="F131">
            <v>0</v>
          </cell>
          <cell r="G131">
            <v>5407.5448387096803</v>
          </cell>
          <cell r="H131">
            <v>4942.7848387096801</v>
          </cell>
          <cell r="I131">
            <v>0</v>
          </cell>
          <cell r="J131">
            <v>0</v>
          </cell>
          <cell r="O131">
            <v>20847.899677419358</v>
          </cell>
        </row>
        <row r="132">
          <cell r="A132">
            <v>36494</v>
          </cell>
          <cell r="B132">
            <v>3869.1013333333299</v>
          </cell>
          <cell r="C132">
            <v>1787.6143333333303</v>
          </cell>
          <cell r="D132">
            <v>4663.1836666666695</v>
          </cell>
          <cell r="E132">
            <v>0</v>
          </cell>
          <cell r="F132">
            <v>0</v>
          </cell>
          <cell r="G132">
            <v>5024.59</v>
          </cell>
          <cell r="H132">
            <v>4666.4840000000004</v>
          </cell>
          <cell r="I132">
            <v>0</v>
          </cell>
          <cell r="J132">
            <v>0</v>
          </cell>
          <cell r="O132">
            <v>20010.973333333328</v>
          </cell>
        </row>
        <row r="133">
          <cell r="A133">
            <v>36525</v>
          </cell>
          <cell r="B133">
            <v>3916.48032258065</v>
          </cell>
          <cell r="C133">
            <v>2011.2480645161299</v>
          </cell>
          <cell r="D133">
            <v>4552.1712903225798</v>
          </cell>
          <cell r="E133">
            <v>0</v>
          </cell>
          <cell r="F133">
            <v>0</v>
          </cell>
          <cell r="G133">
            <v>5101.1683870967709</v>
          </cell>
          <cell r="H133">
            <v>4067.7261290322604</v>
          </cell>
          <cell r="I133">
            <v>580.0667741935481</v>
          </cell>
          <cell r="J133">
            <v>0</v>
          </cell>
          <cell r="O133">
            <v>20228.860967741937</v>
          </cell>
        </row>
        <row r="134">
          <cell r="A134">
            <v>36556</v>
          </cell>
          <cell r="B134">
            <v>4103.7361290322597</v>
          </cell>
          <cell r="C134">
            <v>1885.33838709677</v>
          </cell>
          <cell r="D134">
            <v>3870.38</v>
          </cell>
          <cell r="E134">
            <v>0</v>
          </cell>
          <cell r="F134">
            <v>0</v>
          </cell>
          <cell r="G134">
            <v>4656.6916129032297</v>
          </cell>
          <cell r="H134">
            <v>4030.0967741935497</v>
          </cell>
          <cell r="I134">
            <v>1246.5390322580599</v>
          </cell>
          <cell r="J134">
            <v>0</v>
          </cell>
          <cell r="O134">
            <v>19792.781935483868</v>
          </cell>
        </row>
        <row r="135">
          <cell r="A135">
            <v>36585</v>
          </cell>
          <cell r="B135">
            <v>5106.4975862069005</v>
          </cell>
          <cell r="C135">
            <v>2035.8296551724102</v>
          </cell>
          <cell r="D135">
            <v>3789.87103448276</v>
          </cell>
          <cell r="E135">
            <v>0</v>
          </cell>
          <cell r="F135">
            <v>0</v>
          </cell>
          <cell r="G135">
            <v>5039.7020689655201</v>
          </cell>
          <cell r="H135">
            <v>5039.0079310344809</v>
          </cell>
          <cell r="I135">
            <v>1692.6551724137903</v>
          </cell>
          <cell r="J135">
            <v>0</v>
          </cell>
          <cell r="O135">
            <v>22703.563448275861</v>
          </cell>
        </row>
        <row r="136">
          <cell r="A136">
            <v>36616</v>
          </cell>
          <cell r="B136">
            <v>6439.7493548387101</v>
          </cell>
          <cell r="C136">
            <v>2158.2206451612901</v>
          </cell>
          <cell r="D136">
            <v>6489.7474193548396</v>
          </cell>
          <cell r="E136">
            <v>0</v>
          </cell>
          <cell r="F136">
            <v>0</v>
          </cell>
          <cell r="G136">
            <v>5667.5454838709693</v>
          </cell>
          <cell r="H136">
            <v>6812.3558064516101</v>
          </cell>
          <cell r="I136">
            <v>1841.9893548387101</v>
          </cell>
          <cell r="J136">
            <v>0</v>
          </cell>
          <cell r="O136">
            <v>29409.608064516135</v>
          </cell>
        </row>
        <row r="137">
          <cell r="A137">
            <v>36646</v>
          </cell>
          <cell r="B137">
            <v>3396.5250000000001</v>
          </cell>
          <cell r="C137">
            <v>2291.2793333333298</v>
          </cell>
          <cell r="D137">
            <v>1925.5626666666703</v>
          </cell>
          <cell r="E137">
            <v>0</v>
          </cell>
          <cell r="F137">
            <v>0</v>
          </cell>
          <cell r="G137">
            <v>3127.9753333333297</v>
          </cell>
          <cell r="H137">
            <v>4846.4333333333307</v>
          </cell>
          <cell r="I137">
            <v>1545.8383333333302</v>
          </cell>
          <cell r="J137">
            <v>0</v>
          </cell>
          <cell r="O137">
            <v>17133.61399999999</v>
          </cell>
        </row>
        <row r="138">
          <cell r="A138">
            <v>36677</v>
          </cell>
          <cell r="B138">
            <v>6510.54225806452</v>
          </cell>
          <cell r="C138">
            <v>2081.7993548387099</v>
          </cell>
          <cell r="D138">
            <v>6540.62387096774</v>
          </cell>
          <cell r="E138">
            <v>0</v>
          </cell>
          <cell r="F138">
            <v>0</v>
          </cell>
          <cell r="G138">
            <v>5076.8935483871001</v>
          </cell>
          <cell r="H138">
            <v>5820.2112903225807</v>
          </cell>
          <cell r="I138">
            <v>803.17838709677403</v>
          </cell>
          <cell r="J138">
            <v>0</v>
          </cell>
          <cell r="O138">
            <v>26833.248709677424</v>
          </cell>
        </row>
        <row r="139">
          <cell r="A139">
            <v>36707</v>
          </cell>
          <cell r="B139">
            <v>6544.4346666666697</v>
          </cell>
          <cell r="C139">
            <v>210.838666666667</v>
          </cell>
          <cell r="D139">
            <v>7173.4010000000007</v>
          </cell>
          <cell r="E139">
            <v>0</v>
          </cell>
          <cell r="F139">
            <v>0</v>
          </cell>
          <cell r="G139">
            <v>5369.1186666666699</v>
          </cell>
          <cell r="H139">
            <v>7336.3196666666699</v>
          </cell>
          <cell r="I139">
            <v>1811.5240000000001</v>
          </cell>
          <cell r="J139">
            <v>0</v>
          </cell>
          <cell r="O139">
            <v>28445.636666666676</v>
          </cell>
        </row>
        <row r="140">
          <cell r="A140">
            <v>36738</v>
          </cell>
          <cell r="B140">
            <v>5455.2216129032295</v>
          </cell>
          <cell r="C140">
            <v>971.923870967742</v>
          </cell>
          <cell r="D140">
            <v>5205.6806451612902</v>
          </cell>
          <cell r="E140">
            <v>0</v>
          </cell>
          <cell r="F140">
            <v>0</v>
          </cell>
          <cell r="G140">
            <v>4508.3151612903202</v>
          </cell>
          <cell r="H140">
            <v>5921.3393548387103</v>
          </cell>
          <cell r="I140">
            <v>2264.3116129032301</v>
          </cell>
          <cell r="J140">
            <v>0</v>
          </cell>
          <cell r="O140">
            <v>24326.792258064525</v>
          </cell>
        </row>
        <row r="141">
          <cell r="A141">
            <v>36769</v>
          </cell>
          <cell r="B141">
            <v>6995.2838709677399</v>
          </cell>
          <cell r="C141">
            <v>2163.8551612903202</v>
          </cell>
          <cell r="D141">
            <v>0</v>
          </cell>
          <cell r="E141">
            <v>0</v>
          </cell>
          <cell r="F141">
            <v>0</v>
          </cell>
          <cell r="G141">
            <v>4938.8729032258098</v>
          </cell>
          <cell r="H141">
            <v>6739.7309677419398</v>
          </cell>
          <cell r="I141">
            <v>2637.3196774193502</v>
          </cell>
          <cell r="J141">
            <v>0</v>
          </cell>
          <cell r="O141">
            <v>23475.062580645157</v>
          </cell>
        </row>
        <row r="142">
          <cell r="A142">
            <v>36799</v>
          </cell>
          <cell r="B142">
            <v>592.01366666666706</v>
          </cell>
          <cell r="C142">
            <v>182.45700000000002</v>
          </cell>
          <cell r="D142">
            <v>0</v>
          </cell>
          <cell r="E142">
            <v>0</v>
          </cell>
          <cell r="F142">
            <v>0</v>
          </cell>
          <cell r="G142">
            <v>418.26833333333303</v>
          </cell>
          <cell r="H142">
            <v>569.077</v>
          </cell>
          <cell r="I142">
            <v>277.13100000000003</v>
          </cell>
          <cell r="J142">
            <v>0</v>
          </cell>
          <cell r="O142">
            <v>2038.9470000000001</v>
          </cell>
        </row>
        <row r="143">
          <cell r="A143">
            <v>36830</v>
          </cell>
          <cell r="B143">
            <v>2982.1758064516102</v>
          </cell>
          <cell r="C143">
            <v>1266.42903225806</v>
          </cell>
          <cell r="D143">
            <v>0</v>
          </cell>
          <cell r="E143">
            <v>0</v>
          </cell>
          <cell r="F143">
            <v>0</v>
          </cell>
          <cell r="G143">
            <v>3048.0158064516104</v>
          </cell>
          <cell r="H143">
            <v>3037.4448387096804</v>
          </cell>
          <cell r="I143">
            <v>1663.6529032258102</v>
          </cell>
          <cell r="J143">
            <v>0</v>
          </cell>
          <cell r="O143">
            <v>11997.718387096771</v>
          </cell>
        </row>
        <row r="144">
          <cell r="A144">
            <v>36860</v>
          </cell>
          <cell r="B144">
            <v>7463.8476666666693</v>
          </cell>
          <cell r="C144">
            <v>2729</v>
          </cell>
          <cell r="D144">
            <v>0</v>
          </cell>
          <cell r="E144">
            <v>0</v>
          </cell>
          <cell r="F144">
            <v>0</v>
          </cell>
          <cell r="G144">
            <v>7256.8186666666697</v>
          </cell>
          <cell r="H144">
            <v>6700.7656666666699</v>
          </cell>
          <cell r="I144">
            <v>3577.8246666666705</v>
          </cell>
          <cell r="J144">
            <v>0</v>
          </cell>
          <cell r="O144">
            <v>27728.256666666679</v>
          </cell>
        </row>
        <row r="145">
          <cell r="A145">
            <v>36891</v>
          </cell>
          <cell r="B145">
            <v>8285.8696774193504</v>
          </cell>
          <cell r="C145">
            <v>3184.4012903225803</v>
          </cell>
          <cell r="D145">
            <v>0</v>
          </cell>
          <cell r="E145">
            <v>0</v>
          </cell>
          <cell r="F145">
            <v>0</v>
          </cell>
          <cell r="G145">
            <v>8121.488709677421</v>
          </cell>
          <cell r="H145">
            <v>7275.0283870967705</v>
          </cell>
          <cell r="I145">
            <v>936.67645161290307</v>
          </cell>
          <cell r="J145">
            <v>0</v>
          </cell>
          <cell r="K145">
            <v>1340.07064516129</v>
          </cell>
          <cell r="O145">
            <v>29143.535161290314</v>
          </cell>
        </row>
        <row r="146">
          <cell r="A146">
            <v>36922</v>
          </cell>
          <cell r="B146">
            <v>8090.8858064516098</v>
          </cell>
          <cell r="C146">
            <v>3074.5690322580599</v>
          </cell>
          <cell r="D146">
            <v>0</v>
          </cell>
          <cell r="E146">
            <v>0</v>
          </cell>
          <cell r="F146">
            <v>0</v>
          </cell>
          <cell r="G146">
            <v>8453.7490322580597</v>
          </cell>
          <cell r="H146">
            <v>7582.6161290322598</v>
          </cell>
          <cell r="I146">
            <v>0</v>
          </cell>
          <cell r="J146">
            <v>0</v>
          </cell>
          <cell r="K146">
            <v>6040.1680645161305</v>
          </cell>
          <cell r="O146">
            <v>33241.988064516117</v>
          </cell>
        </row>
        <row r="147">
          <cell r="A147">
            <v>36950</v>
          </cell>
          <cell r="B147">
            <v>6800.3635714285701</v>
          </cell>
          <cell r="C147">
            <v>2584.3775000000001</v>
          </cell>
          <cell r="D147">
            <v>1724.1157142857101</v>
          </cell>
          <cell r="E147">
            <v>0</v>
          </cell>
          <cell r="F147">
            <v>0</v>
          </cell>
          <cell r="G147">
            <v>7060.4471428571405</v>
          </cell>
          <cell r="H147">
            <v>6232.9867857142899</v>
          </cell>
          <cell r="I147">
            <v>0</v>
          </cell>
          <cell r="J147">
            <v>20.406071428571398</v>
          </cell>
          <cell r="K147">
            <v>6403.2157142857113</v>
          </cell>
          <cell r="O147">
            <v>30825.912499999991</v>
          </cell>
        </row>
        <row r="148">
          <cell r="A148">
            <v>36981</v>
          </cell>
          <cell r="B148">
            <v>6491.3848387096805</v>
          </cell>
          <cell r="C148">
            <v>2444.1067741935499</v>
          </cell>
          <cell r="D148">
            <v>4263.3125806451599</v>
          </cell>
          <cell r="E148">
            <v>0</v>
          </cell>
          <cell r="F148">
            <v>0</v>
          </cell>
          <cell r="G148">
            <v>5895.5225806451599</v>
          </cell>
          <cell r="H148">
            <v>6653.0774193548395</v>
          </cell>
          <cell r="I148">
            <v>0</v>
          </cell>
          <cell r="J148">
            <v>378.43548387096803</v>
          </cell>
          <cell r="K148">
            <v>7324.6690322580607</v>
          </cell>
          <cell r="O148">
            <v>33450.508709677415</v>
          </cell>
        </row>
        <row r="149">
          <cell r="A149">
            <v>37011</v>
          </cell>
          <cell r="B149">
            <v>7228.2103333333307</v>
          </cell>
          <cell r="C149">
            <v>3119.7650000000003</v>
          </cell>
          <cell r="D149">
            <v>0</v>
          </cell>
          <cell r="E149">
            <v>0</v>
          </cell>
          <cell r="F149">
            <v>0</v>
          </cell>
          <cell r="G149">
            <v>7226.9106666666694</v>
          </cell>
          <cell r="H149">
            <v>6874.2449999999999</v>
          </cell>
          <cell r="I149">
            <v>0</v>
          </cell>
          <cell r="J149">
            <v>1383.3536666666703</v>
          </cell>
          <cell r="K149">
            <v>7982.13666666667</v>
          </cell>
          <cell r="O149">
            <v>33814.621333333344</v>
          </cell>
        </row>
        <row r="150">
          <cell r="A150">
            <v>37042</v>
          </cell>
          <cell r="B150">
            <v>1465.7793548387101</v>
          </cell>
          <cell r="C150">
            <v>3417.7003225806498</v>
          </cell>
          <cell r="D150">
            <v>1118.0096774193501</v>
          </cell>
          <cell r="E150">
            <v>0</v>
          </cell>
          <cell r="F150">
            <v>0</v>
          </cell>
          <cell r="G150">
            <v>7933.6870967741906</v>
          </cell>
          <cell r="H150">
            <v>7115.2041935483894</v>
          </cell>
          <cell r="I150">
            <v>0</v>
          </cell>
          <cell r="J150">
            <v>3063.1477419354796</v>
          </cell>
          <cell r="K150">
            <v>8681.2006451612906</v>
          </cell>
          <cell r="O150">
            <v>32794.729032258059</v>
          </cell>
        </row>
        <row r="151">
          <cell r="A151">
            <v>37072</v>
          </cell>
          <cell r="B151">
            <v>0</v>
          </cell>
          <cell r="C151">
            <v>2653.4133333333298</v>
          </cell>
          <cell r="D151">
            <v>5973.9803333333302</v>
          </cell>
          <cell r="E151">
            <v>0</v>
          </cell>
          <cell r="F151">
            <v>0</v>
          </cell>
          <cell r="G151">
            <v>7419.0496666666695</v>
          </cell>
          <cell r="H151">
            <v>6840.259</v>
          </cell>
          <cell r="I151">
            <v>0</v>
          </cell>
          <cell r="J151">
            <v>3339.3130000000001</v>
          </cell>
          <cell r="K151">
            <v>8526.8276666666698</v>
          </cell>
          <cell r="O151">
            <v>34752.843000000001</v>
          </cell>
        </row>
        <row r="152">
          <cell r="A152">
            <v>37103</v>
          </cell>
          <cell r="B152">
            <v>0</v>
          </cell>
          <cell r="C152">
            <v>3028.8035483870999</v>
          </cell>
          <cell r="D152">
            <v>7596.72580645161</v>
          </cell>
          <cell r="E152">
            <v>0</v>
          </cell>
          <cell r="F152">
            <v>0</v>
          </cell>
          <cell r="G152">
            <v>8071.2432258064509</v>
          </cell>
          <cell r="H152">
            <v>8056.9651612903208</v>
          </cell>
          <cell r="I152">
            <v>0</v>
          </cell>
          <cell r="J152">
            <v>5269.1203225806503</v>
          </cell>
          <cell r="K152">
            <v>9915.4035483870994</v>
          </cell>
          <cell r="O152">
            <v>41938.261612903232</v>
          </cell>
        </row>
        <row r="153">
          <cell r="A153">
            <v>37134</v>
          </cell>
          <cell r="B153">
            <v>0</v>
          </cell>
          <cell r="C153">
            <v>3381.13032258065</v>
          </cell>
          <cell r="D153">
            <v>7906.4480645161302</v>
          </cell>
          <cell r="E153">
            <v>0</v>
          </cell>
          <cell r="F153">
            <v>0</v>
          </cell>
          <cell r="G153">
            <v>8787.8412903225799</v>
          </cell>
          <cell r="H153">
            <v>8333.3354838709711</v>
          </cell>
          <cell r="I153">
            <v>0</v>
          </cell>
          <cell r="J153">
            <v>6448.2712903225802</v>
          </cell>
          <cell r="K153">
            <v>9992.9690322580609</v>
          </cell>
          <cell r="O153">
            <v>44849.995483870967</v>
          </cell>
        </row>
        <row r="154">
          <cell r="A154">
            <v>37164</v>
          </cell>
          <cell r="B154">
            <v>0</v>
          </cell>
          <cell r="C154">
            <v>1786.8786666666701</v>
          </cell>
          <cell r="D154">
            <v>8207.2133333333313</v>
          </cell>
          <cell r="E154">
            <v>0</v>
          </cell>
          <cell r="F154">
            <v>0</v>
          </cell>
          <cell r="G154">
            <v>8642.3130000000001</v>
          </cell>
          <cell r="H154">
            <v>8931.5833333333303</v>
          </cell>
          <cell r="I154">
            <v>0</v>
          </cell>
          <cell r="J154">
            <v>6725.2310000000007</v>
          </cell>
          <cell r="K154">
            <v>9868.9350000000013</v>
          </cell>
          <cell r="O154">
            <v>44162.154333333325</v>
          </cell>
        </row>
        <row r="155">
          <cell r="A155">
            <v>37195</v>
          </cell>
          <cell r="B155">
            <v>0</v>
          </cell>
          <cell r="C155">
            <v>2908.8019354838698</v>
          </cell>
          <cell r="D155">
            <v>5790.56</v>
          </cell>
          <cell r="E155">
            <v>0</v>
          </cell>
          <cell r="F155">
            <v>0.85</v>
          </cell>
          <cell r="G155">
            <v>5114.9367741935503</v>
          </cell>
          <cell r="H155">
            <v>7180.2325806451599</v>
          </cell>
          <cell r="I155">
            <v>2107.0864516129</v>
          </cell>
          <cell r="J155">
            <v>6016.6561290322597</v>
          </cell>
          <cell r="K155">
            <v>8071.4196774193506</v>
          </cell>
          <cell r="L155">
            <v>3.7880645161290301</v>
          </cell>
          <cell r="O155">
            <v>37194.331612903217</v>
          </cell>
        </row>
        <row r="156">
          <cell r="A156">
            <v>37225</v>
          </cell>
          <cell r="B156">
            <v>0</v>
          </cell>
          <cell r="C156">
            <v>3486.8149045702912</v>
          </cell>
          <cell r="D156">
            <v>2345.8248049020717</v>
          </cell>
          <cell r="E156">
            <v>0</v>
          </cell>
          <cell r="F156">
            <v>16.712814001522027</v>
          </cell>
          <cell r="G156">
            <v>5564.901541749422</v>
          </cell>
          <cell r="H156">
            <v>8453.5272169617656</v>
          </cell>
          <cell r="I156">
            <v>3468.284737827727</v>
          </cell>
          <cell r="J156">
            <v>7417.6458855529545</v>
          </cell>
          <cell r="K156">
            <v>9617.1719083144217</v>
          </cell>
          <cell r="L156">
            <v>153.72369487954603</v>
          </cell>
          <cell r="O156">
            <v>40524.60750875972</v>
          </cell>
        </row>
        <row r="157">
          <cell r="A157">
            <v>37256</v>
          </cell>
          <cell r="B157">
            <v>0</v>
          </cell>
          <cell r="C157">
            <v>3579.52079029879</v>
          </cell>
          <cell r="D157">
            <v>6095.9063422220615</v>
          </cell>
          <cell r="E157">
            <v>0</v>
          </cell>
          <cell r="F157">
            <v>257.87992290219859</v>
          </cell>
          <cell r="G157">
            <v>6597.2824931824425</v>
          </cell>
          <cell r="H157">
            <v>6199.4579465412553</v>
          </cell>
          <cell r="I157">
            <v>30.464964831356653</v>
          </cell>
          <cell r="J157">
            <v>7561.6448562198511</v>
          </cell>
          <cell r="K157">
            <v>10181.003857205786</v>
          </cell>
          <cell r="L157">
            <v>869.71498063546392</v>
          </cell>
          <cell r="O157">
            <v>41372.876154039208</v>
          </cell>
        </row>
        <row r="158">
          <cell r="A158">
            <v>37287</v>
          </cell>
          <cell r="B158">
            <v>0</v>
          </cell>
          <cell r="C158">
            <v>3164.3990210240013</v>
          </cell>
          <cell r="D158">
            <v>6834.6234339071489</v>
          </cell>
          <cell r="E158">
            <v>0</v>
          </cell>
          <cell r="F158">
            <v>1398.7588232727619</v>
          </cell>
          <cell r="G158">
            <v>6638.074713967465</v>
          </cell>
          <cell r="H158">
            <v>7420.2273720201074</v>
          </cell>
          <cell r="I158">
            <v>113.22132124978624</v>
          </cell>
          <cell r="J158">
            <v>7505.0715102568256</v>
          </cell>
          <cell r="K158">
            <v>6733.4811535974741</v>
          </cell>
          <cell r="L158">
            <v>3084.8680930262158</v>
          </cell>
          <cell r="O158">
            <v>42892.725442321782</v>
          </cell>
        </row>
        <row r="159">
          <cell r="A159">
            <v>37315</v>
          </cell>
          <cell r="B159">
            <v>0</v>
          </cell>
          <cell r="C159">
            <v>3572.4662173889255</v>
          </cell>
          <cell r="D159">
            <v>6033.7421935568291</v>
          </cell>
          <cell r="E159">
            <v>0</v>
          </cell>
          <cell r="F159">
            <v>1615.0316005883963</v>
          </cell>
          <cell r="G159">
            <v>5896.1014600630715</v>
          </cell>
          <cell r="H159">
            <v>6917.1705316443922</v>
          </cell>
          <cell r="I159">
            <v>525.78501159013604</v>
          </cell>
          <cell r="J159">
            <v>6645.6903794426044</v>
          </cell>
          <cell r="K159">
            <v>7356.1337301914728</v>
          </cell>
          <cell r="L159">
            <v>4602.9175141387886</v>
          </cell>
          <cell r="O159">
            <v>43165.038638604616</v>
          </cell>
        </row>
        <row r="160">
          <cell r="A160">
            <v>37346</v>
          </cell>
          <cell r="B160">
            <v>0</v>
          </cell>
          <cell r="C160">
            <v>3713.8625773567551</v>
          </cell>
          <cell r="D160">
            <v>6843.5832470794276</v>
          </cell>
          <cell r="E160">
            <v>0</v>
          </cell>
          <cell r="F160">
            <v>2328.7599243725167</v>
          </cell>
          <cell r="G160">
            <v>4935.8740092338658</v>
          </cell>
          <cell r="H160">
            <v>6566.5323887557506</v>
          </cell>
          <cell r="I160">
            <v>2.0423278627209571</v>
          </cell>
          <cell r="J160">
            <v>7460.7308590900157</v>
          </cell>
          <cell r="K160">
            <v>7582.1902653294437</v>
          </cell>
          <cell r="L160">
            <v>5663.9917864842255</v>
          </cell>
          <cell r="O160">
            <v>45097.567385564726</v>
          </cell>
        </row>
      </sheetData>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cted Case OPEX Forecast"/>
      <sheetName val="Realistic Profile"/>
      <sheetName val=" Tail End OPEX Forecasts"/>
      <sheetName val="Lifting Costs Graph Realistic"/>
      <sheetName val="Lifting Costs"/>
      <sheetName val="PipelineOpsBudgetLifecycleTailM"/>
      <sheetName val="Expected Case Profile"/>
      <sheetName val="G&amp;A Buildup"/>
      <sheetName val="Maintenance Cost Buildup"/>
      <sheetName val="Well Operations"/>
      <sheetName val="Marine and Logisics"/>
      <sheetName val="Chart1"/>
      <sheetName val="Chart2"/>
      <sheetName val="Pain"/>
      <sheetName val="Ghost 2006 to 2003"/>
      <sheetName val="Graph Data"/>
      <sheetName val="OPEX Bulid-up"/>
      <sheetName val="2003 cost build-up"/>
      <sheetName val="2006 cost build-up"/>
      <sheetName val="2011 cost build-up"/>
      <sheetName val="ChemicalBudgetLifecycleEstimate"/>
      <sheetName val="G&amp;ALifeCycleEstimate"/>
      <sheetName val="Budget 2003"/>
      <sheetName val="PipelineOpsBudgetLifecycle"/>
      <sheetName val="RateProfiles"/>
      <sheetName val="ESP Rental Forecast Opex"/>
      <sheetName val="Maintenance Events"/>
      <sheetName val="Maintenance EventsTailMods"/>
      <sheetName val="WellOperationsLifecycleEstimate"/>
      <sheetName val="Old"/>
      <sheetName val="ESP rental calcul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
          <cell r="A1" t="str">
            <v>Phase</v>
          </cell>
          <cell r="B1" t="str">
            <v>Oil Rate (stb/d)</v>
          </cell>
          <cell r="E1" t="str">
            <v>Gas Rate (mmscf/d)</v>
          </cell>
          <cell r="H1" t="str">
            <v>Water Rate (stb/d)</v>
          </cell>
        </row>
        <row r="2">
          <cell r="B2" t="str">
            <v>Do Nothing</v>
          </cell>
          <cell r="C2" t="str">
            <v>Expected</v>
          </cell>
          <cell r="D2" t="str">
            <v>Low Side</v>
          </cell>
          <cell r="E2" t="str">
            <v>Do Nothing</v>
          </cell>
          <cell r="F2" t="str">
            <v>Expected</v>
          </cell>
          <cell r="G2" t="str">
            <v>Low Side</v>
          </cell>
          <cell r="H2" t="str">
            <v>Do Nothing</v>
          </cell>
          <cell r="I2" t="str">
            <v>Expected</v>
          </cell>
          <cell r="J2" t="str">
            <v>Low Side</v>
          </cell>
        </row>
        <row r="3">
          <cell r="A3" t="str">
            <v>1H 03</v>
          </cell>
          <cell r="B3">
            <v>49938.369752521314</v>
          </cell>
          <cell r="C3">
            <v>52156.563449665315</v>
          </cell>
          <cell r="D3">
            <v>39950.695802017057</v>
          </cell>
          <cell r="E3">
            <v>238.43934426229524</v>
          </cell>
          <cell r="F3">
            <v>238.43333333333314</v>
          </cell>
          <cell r="G3">
            <v>190.75147540983619</v>
          </cell>
          <cell r="H3">
            <v>56700</v>
          </cell>
          <cell r="I3">
            <v>56700</v>
          </cell>
          <cell r="J3">
            <v>56700</v>
          </cell>
        </row>
        <row r="4">
          <cell r="A4" t="str">
            <v>2H 03</v>
          </cell>
          <cell r="B4">
            <v>43808.024819997059</v>
          </cell>
          <cell r="C4">
            <v>52799.662685845658</v>
          </cell>
          <cell r="D4">
            <v>35046.41985599765</v>
          </cell>
          <cell r="E4">
            <v>258.68618784530361</v>
          </cell>
          <cell r="F4">
            <v>258.07237569060766</v>
          </cell>
          <cell r="G4">
            <v>206.9489502762429</v>
          </cell>
          <cell r="H4">
            <v>56700</v>
          </cell>
          <cell r="I4">
            <v>56700</v>
          </cell>
          <cell r="J4">
            <v>56700</v>
          </cell>
        </row>
        <row r="5">
          <cell r="A5" t="str">
            <v>1H 04</v>
          </cell>
          <cell r="B5">
            <v>32766.453868440276</v>
          </cell>
          <cell r="C5">
            <v>43063.65199865969</v>
          </cell>
          <cell r="D5">
            <v>26213.163094752221</v>
          </cell>
          <cell r="E5">
            <v>237.73260869565209</v>
          </cell>
          <cell r="F5">
            <v>237.66521739130454</v>
          </cell>
          <cell r="G5">
            <v>190.18608695652168</v>
          </cell>
          <cell r="H5">
            <v>58500</v>
          </cell>
          <cell r="I5">
            <v>58500</v>
          </cell>
          <cell r="J5">
            <v>58500</v>
          </cell>
        </row>
        <row r="6">
          <cell r="A6" t="str">
            <v>2H 04</v>
          </cell>
          <cell r="B6">
            <v>27846.723123098709</v>
          </cell>
          <cell r="C6">
            <v>40962.820011082113</v>
          </cell>
          <cell r="D6">
            <v>22277.378498478967</v>
          </cell>
          <cell r="E6">
            <v>213.50659340659348</v>
          </cell>
          <cell r="F6">
            <v>212.86318681318659</v>
          </cell>
          <cell r="G6">
            <v>170.80527472527478</v>
          </cell>
          <cell r="H6">
            <v>58500</v>
          </cell>
          <cell r="I6">
            <v>58500</v>
          </cell>
          <cell r="J6">
            <v>58500</v>
          </cell>
        </row>
        <row r="7">
          <cell r="A7" t="str">
            <v>1H 05</v>
          </cell>
          <cell r="B7">
            <v>24435.248727173752</v>
          </cell>
          <cell r="C7">
            <v>36754.911093083443</v>
          </cell>
          <cell r="D7">
            <v>19548.198981739002</v>
          </cell>
          <cell r="E7">
            <v>159.50597826086906</v>
          </cell>
          <cell r="F7">
            <v>169.31847826086997</v>
          </cell>
          <cell r="G7">
            <v>127.60478260869525</v>
          </cell>
          <cell r="H7">
            <v>58500</v>
          </cell>
          <cell r="I7">
            <v>58500</v>
          </cell>
          <cell r="J7">
            <v>58500</v>
          </cell>
        </row>
        <row r="8">
          <cell r="A8" t="str">
            <v>2H 05</v>
          </cell>
          <cell r="B8">
            <v>20950.224742066912</v>
          </cell>
          <cell r="C8">
            <v>34054.046428178299</v>
          </cell>
          <cell r="D8">
            <v>16760.179793653529</v>
          </cell>
          <cell r="E8">
            <v>182.57513812154772</v>
          </cell>
          <cell r="F8">
            <v>213.2464088397787</v>
          </cell>
          <cell r="G8">
            <v>146.06011049723818</v>
          </cell>
          <cell r="H8">
            <v>58500</v>
          </cell>
          <cell r="I8">
            <v>58500</v>
          </cell>
          <cell r="J8">
            <v>58500</v>
          </cell>
        </row>
        <row r="9">
          <cell r="A9" t="str">
            <v>1H 06</v>
          </cell>
          <cell r="B9">
            <v>15709.702692268485</v>
          </cell>
          <cell r="C9">
            <v>26472.321549906505</v>
          </cell>
          <cell r="D9">
            <v>12567.762153814789</v>
          </cell>
          <cell r="E9">
            <v>128.05380434782569</v>
          </cell>
          <cell r="F9">
            <v>170.30760869565202</v>
          </cell>
          <cell r="G9">
            <v>102.44304347826056</v>
          </cell>
          <cell r="H9">
            <v>58500</v>
          </cell>
          <cell r="I9">
            <v>58500</v>
          </cell>
          <cell r="J9">
            <v>58500</v>
          </cell>
        </row>
        <row r="10">
          <cell r="A10" t="str">
            <v>2H 06</v>
          </cell>
          <cell r="B10">
            <v>11805.053581050599</v>
          </cell>
          <cell r="C10">
            <v>21748.951119928159</v>
          </cell>
          <cell r="D10">
            <v>9444.0428648404795</v>
          </cell>
          <cell r="E10">
            <v>168.80165745856402</v>
          </cell>
          <cell r="F10">
            <v>227.58895027624342</v>
          </cell>
          <cell r="G10">
            <v>135.04132596685122</v>
          </cell>
          <cell r="H10">
            <v>58500</v>
          </cell>
          <cell r="I10">
            <v>58500</v>
          </cell>
          <cell r="J10">
            <v>58500</v>
          </cell>
        </row>
        <row r="11">
          <cell r="A11" t="str">
            <v>1H 07</v>
          </cell>
          <cell r="B11">
            <v>11228.800933485933</v>
          </cell>
          <cell r="C11">
            <v>12286.258936981352</v>
          </cell>
          <cell r="D11">
            <v>8983.0407467887471</v>
          </cell>
          <cell r="E11">
            <v>130.39619565217308</v>
          </cell>
          <cell r="F11">
            <v>190.40543478260847</v>
          </cell>
          <cell r="G11">
            <v>104.31695652173846</v>
          </cell>
          <cell r="H11">
            <v>58500</v>
          </cell>
          <cell r="I11">
            <v>58500</v>
          </cell>
          <cell r="J11">
            <v>58500</v>
          </cell>
        </row>
        <row r="12">
          <cell r="A12" t="str">
            <v>2H 07</v>
          </cell>
          <cell r="B12">
            <v>10624.92013838628</v>
          </cell>
          <cell r="C12">
            <v>12375.624430615735</v>
          </cell>
          <cell r="D12">
            <v>8499.9361107090244</v>
          </cell>
          <cell r="E12">
            <v>127.41767955801153</v>
          </cell>
          <cell r="F12">
            <v>226.50994475138106</v>
          </cell>
          <cell r="G12">
            <v>101.93414364640923</v>
          </cell>
          <cell r="H12">
            <v>58500</v>
          </cell>
          <cell r="I12">
            <v>58500</v>
          </cell>
          <cell r="J12">
            <v>58500</v>
          </cell>
        </row>
        <row r="13">
          <cell r="A13" t="str">
            <v>1H 08</v>
          </cell>
          <cell r="B13">
            <v>9308.0248576210197</v>
          </cell>
          <cell r="C13">
            <v>9071.5305195964411</v>
          </cell>
          <cell r="D13">
            <v>7446.4198860968163</v>
          </cell>
          <cell r="E13">
            <v>111.64021739130418</v>
          </cell>
          <cell r="F13">
            <v>189.20706521739157</v>
          </cell>
          <cell r="G13">
            <v>89.312173913043353</v>
          </cell>
          <cell r="H13">
            <v>58500</v>
          </cell>
          <cell r="I13">
            <v>58500</v>
          </cell>
          <cell r="J13">
            <v>58500</v>
          </cell>
        </row>
        <row r="14">
          <cell r="A14" t="str">
            <v>2H 08</v>
          </cell>
          <cell r="B14">
            <v>9370.0251681801401</v>
          </cell>
          <cell r="C14">
            <v>11235.15500597961</v>
          </cell>
          <cell r="D14">
            <v>7496.0201345441128</v>
          </cell>
          <cell r="E14">
            <v>116.54560439560467</v>
          </cell>
          <cell r="F14">
            <v>226.25329670329654</v>
          </cell>
          <cell r="G14">
            <v>93.236483516483744</v>
          </cell>
          <cell r="H14">
            <v>58500</v>
          </cell>
          <cell r="I14">
            <v>58500</v>
          </cell>
          <cell r="J14">
            <v>58500</v>
          </cell>
        </row>
        <row r="15">
          <cell r="A15" t="str">
            <v>1H 09</v>
          </cell>
          <cell r="B15">
            <v>8185.1379579204768</v>
          </cell>
          <cell r="C15">
            <v>10105.695451298998</v>
          </cell>
          <cell r="D15">
            <v>6548.110366336382</v>
          </cell>
          <cell r="E15">
            <v>96.378260869565338</v>
          </cell>
          <cell r="F15">
            <v>185.00543478260897</v>
          </cell>
          <cell r="G15">
            <v>77.102608695652279</v>
          </cell>
          <cell r="H15">
            <v>58500</v>
          </cell>
          <cell r="I15">
            <v>58500</v>
          </cell>
          <cell r="J15">
            <v>58500</v>
          </cell>
        </row>
        <row r="16">
          <cell r="A16" t="str">
            <v>2H 09</v>
          </cell>
          <cell r="B16">
            <v>8184.1972901328218</v>
          </cell>
          <cell r="C16">
            <v>8131.6870318899091</v>
          </cell>
          <cell r="D16">
            <v>6547.3578321062578</v>
          </cell>
          <cell r="E16">
            <v>96.143093922651687</v>
          </cell>
          <cell r="F16">
            <v>199.44254143646421</v>
          </cell>
          <cell r="G16">
            <v>76.914475138121361</v>
          </cell>
          <cell r="H16">
            <v>58500</v>
          </cell>
          <cell r="I16">
            <v>58500</v>
          </cell>
          <cell r="J16">
            <v>58500</v>
          </cell>
        </row>
        <row r="17">
          <cell r="A17" t="str">
            <v>1H 10</v>
          </cell>
          <cell r="B17">
            <v>6743.4029074785058</v>
          </cell>
          <cell r="C17">
            <v>6629.8812010832344</v>
          </cell>
          <cell r="D17">
            <v>5394.7223259828052</v>
          </cell>
          <cell r="E17">
            <v>82.498913043478254</v>
          </cell>
          <cell r="F17">
            <v>141.71739130434733</v>
          </cell>
          <cell r="G17">
            <v>65.9991304347826</v>
          </cell>
          <cell r="H17">
            <v>58500</v>
          </cell>
          <cell r="I17">
            <v>58500</v>
          </cell>
          <cell r="J17">
            <v>58500</v>
          </cell>
        </row>
        <row r="18">
          <cell r="A18" t="str">
            <v>2H 10</v>
          </cell>
          <cell r="B18">
            <v>6728.7641613819405</v>
          </cell>
          <cell r="C18">
            <v>6672.4480999542429</v>
          </cell>
          <cell r="D18">
            <v>5383.0113291055532</v>
          </cell>
          <cell r="E18">
            <v>78.83922651933706</v>
          </cell>
          <cell r="F18">
            <v>152.35911602209944</v>
          </cell>
          <cell r="G18">
            <v>63.07138121546965</v>
          </cell>
          <cell r="H18">
            <v>58500</v>
          </cell>
          <cell r="I18">
            <v>58500</v>
          </cell>
          <cell r="J18">
            <v>58500</v>
          </cell>
        </row>
        <row r="19">
          <cell r="A19" t="str">
            <v>1H 11</v>
          </cell>
          <cell r="B19">
            <v>5631.5539088771211</v>
          </cell>
          <cell r="C19">
            <v>5680.8697586524922</v>
          </cell>
          <cell r="D19">
            <v>4505.2431271016967</v>
          </cell>
          <cell r="E19">
            <v>67.576086956521578</v>
          </cell>
          <cell r="F19">
            <v>116.48369565217386</v>
          </cell>
          <cell r="G19">
            <v>54.060869565217267</v>
          </cell>
          <cell r="H19">
            <v>58500</v>
          </cell>
          <cell r="I19">
            <v>58500</v>
          </cell>
          <cell r="J19">
            <v>58500</v>
          </cell>
        </row>
        <row r="20">
          <cell r="A20" t="str">
            <v>2H 11</v>
          </cell>
          <cell r="B20">
            <v>5592.9548216804487</v>
          </cell>
          <cell r="C20">
            <v>5699.5427108504819</v>
          </cell>
          <cell r="D20">
            <v>4474.3638573443595</v>
          </cell>
          <cell r="E20">
            <v>56.76519337016569</v>
          </cell>
          <cell r="F20">
            <v>121.1381215469622</v>
          </cell>
          <cell r="G20">
            <v>45.412154696132554</v>
          </cell>
          <cell r="H20">
            <v>58500</v>
          </cell>
          <cell r="I20">
            <v>58500</v>
          </cell>
          <cell r="J20">
            <v>58500</v>
          </cell>
        </row>
        <row r="21">
          <cell r="A21" t="str">
            <v>1H 12</v>
          </cell>
          <cell r="B21">
            <v>5410.3870294318667</v>
          </cell>
          <cell r="C21">
            <v>5222.2718581673571</v>
          </cell>
          <cell r="D21">
            <v>4328.3096235454932</v>
          </cell>
          <cell r="E21">
            <v>45.425000000000672</v>
          </cell>
          <cell r="F21">
            <v>90.054347826086612</v>
          </cell>
          <cell r="G21">
            <v>36.340000000000536</v>
          </cell>
          <cell r="H21">
            <v>58500</v>
          </cell>
          <cell r="I21">
            <v>58500</v>
          </cell>
          <cell r="J21">
            <v>58500</v>
          </cell>
        </row>
        <row r="22">
          <cell r="A22" t="str">
            <v>2H 12</v>
          </cell>
          <cell r="B22">
            <v>5567.932633827465</v>
          </cell>
          <cell r="C22">
            <v>5244.8281171258031</v>
          </cell>
          <cell r="D22">
            <v>4454.3461070619724</v>
          </cell>
          <cell r="E22">
            <v>35.913736263735544</v>
          </cell>
          <cell r="F22">
            <v>83.373626373626252</v>
          </cell>
          <cell r="G22">
            <v>28.730989010988438</v>
          </cell>
          <cell r="H22">
            <v>58500</v>
          </cell>
          <cell r="I22">
            <v>58500</v>
          </cell>
          <cell r="J22">
            <v>58500</v>
          </cell>
        </row>
        <row r="23">
          <cell r="A23" t="str">
            <v>1H 13</v>
          </cell>
          <cell r="B23">
            <v>5224.4807323750774</v>
          </cell>
          <cell r="C23">
            <v>5217.651898640087</v>
          </cell>
          <cell r="D23">
            <v>4179.5845859000619</v>
          </cell>
          <cell r="E23">
            <v>22.207065217391239</v>
          </cell>
          <cell r="F23">
            <v>62.559782608695478</v>
          </cell>
          <cell r="G23">
            <v>17.765652173912994</v>
          </cell>
          <cell r="H23">
            <v>58500</v>
          </cell>
          <cell r="I23">
            <v>58500</v>
          </cell>
          <cell r="J23">
            <v>58500</v>
          </cell>
        </row>
        <row r="24">
          <cell r="A24" t="str">
            <v>2H 13</v>
          </cell>
          <cell r="B24">
            <v>5085.4290749165611</v>
          </cell>
          <cell r="C24">
            <v>4990.5015863651761</v>
          </cell>
          <cell r="D24">
            <v>4068.3432599332491</v>
          </cell>
          <cell r="E24">
            <v>14.074585635359192</v>
          </cell>
          <cell r="F24">
            <v>40.02762430939292</v>
          </cell>
          <cell r="G24">
            <v>11.259668508287355</v>
          </cell>
          <cell r="H24">
            <v>58500</v>
          </cell>
          <cell r="I24">
            <v>58500</v>
          </cell>
          <cell r="J24">
            <v>58500</v>
          </cell>
        </row>
        <row r="25">
          <cell r="A25" t="str">
            <v>1H 14</v>
          </cell>
          <cell r="B25">
            <v>4899.1218157039129</v>
          </cell>
          <cell r="C25">
            <v>4658.2804443977548</v>
          </cell>
          <cell r="D25">
            <v>3919.2974525631307</v>
          </cell>
          <cell r="E25">
            <v>7.4195652173916988</v>
          </cell>
          <cell r="F25">
            <v>24.847826086955919</v>
          </cell>
          <cell r="G25">
            <v>5.9356521739133594</v>
          </cell>
          <cell r="H25">
            <v>58500</v>
          </cell>
          <cell r="I25">
            <v>58500</v>
          </cell>
          <cell r="J25">
            <v>58500</v>
          </cell>
        </row>
        <row r="26">
          <cell r="A26" t="str">
            <v>2H 14</v>
          </cell>
          <cell r="B26">
            <v>4877.1142730663896</v>
          </cell>
          <cell r="C26">
            <v>4614.8228417073888</v>
          </cell>
          <cell r="D26">
            <v>3901.691418453112</v>
          </cell>
          <cell r="E26">
            <v>1.9176795580107997</v>
          </cell>
          <cell r="F26">
            <v>13.98342541436436</v>
          </cell>
          <cell r="G26">
            <v>1.5341436464086398</v>
          </cell>
          <cell r="H26">
            <v>58500</v>
          </cell>
          <cell r="I26">
            <v>58500</v>
          </cell>
          <cell r="J26">
            <v>58500</v>
          </cell>
        </row>
        <row r="27">
          <cell r="A27" t="str">
            <v>1H 15</v>
          </cell>
          <cell r="B27">
            <v>4721.8310940275469</v>
          </cell>
          <cell r="C27">
            <v>4435.9364715236206</v>
          </cell>
          <cell r="D27">
            <v>3777.4648752220378</v>
          </cell>
          <cell r="E27">
            <v>0</v>
          </cell>
          <cell r="F27">
            <v>3.7282608695660278</v>
          </cell>
          <cell r="G27">
            <v>0</v>
          </cell>
          <cell r="H27">
            <v>58500</v>
          </cell>
          <cell r="I27">
            <v>58500</v>
          </cell>
          <cell r="J27">
            <v>58500</v>
          </cell>
        </row>
        <row r="28">
          <cell r="A28" t="str">
            <v>2H 15</v>
          </cell>
          <cell r="B28">
            <v>4721.8310940275469</v>
          </cell>
          <cell r="C28">
            <v>4421.0234280453569</v>
          </cell>
          <cell r="D28">
            <v>3777.4648752220378</v>
          </cell>
          <cell r="E28">
            <v>0</v>
          </cell>
          <cell r="F28">
            <v>0</v>
          </cell>
          <cell r="G28">
            <v>0</v>
          </cell>
          <cell r="H28">
            <v>58500</v>
          </cell>
          <cell r="I28">
            <v>58500</v>
          </cell>
          <cell r="J28">
            <v>58500</v>
          </cell>
        </row>
        <row r="29">
          <cell r="A29" t="str">
            <v>1H 16</v>
          </cell>
          <cell r="B29">
            <v>4580.824527867012</v>
          </cell>
          <cell r="C29">
            <v>4287.3269234864192</v>
          </cell>
          <cell r="D29">
            <v>3664.6596222936096</v>
          </cell>
          <cell r="E29">
            <v>0</v>
          </cell>
          <cell r="F29">
            <v>0</v>
          </cell>
          <cell r="G29">
            <v>0</v>
          </cell>
          <cell r="H29">
            <v>58500</v>
          </cell>
          <cell r="I29">
            <v>58500</v>
          </cell>
          <cell r="J29">
            <v>58500</v>
          </cell>
        </row>
        <row r="30">
          <cell r="A30" t="str">
            <v>2H 16</v>
          </cell>
          <cell r="B30">
            <v>4580.824527867012</v>
          </cell>
          <cell r="C30">
            <v>4287.3269234864192</v>
          </cell>
          <cell r="D30">
            <v>3664.6596222936096</v>
          </cell>
          <cell r="E30">
            <v>0</v>
          </cell>
          <cell r="F30">
            <v>0</v>
          </cell>
          <cell r="G30">
            <v>0</v>
          </cell>
          <cell r="H30">
            <v>58500</v>
          </cell>
          <cell r="I30">
            <v>58500</v>
          </cell>
          <cell r="J30">
            <v>58500</v>
          </cell>
        </row>
        <row r="31">
          <cell r="A31" t="str">
            <v>1H 17</v>
          </cell>
          <cell r="B31">
            <v>0</v>
          </cell>
          <cell r="C31">
            <v>0</v>
          </cell>
          <cell r="D31">
            <v>0</v>
          </cell>
          <cell r="E31">
            <v>0</v>
          </cell>
          <cell r="F31">
            <v>0</v>
          </cell>
          <cell r="G31">
            <v>0</v>
          </cell>
          <cell r="H31">
            <v>0</v>
          </cell>
          <cell r="I31">
            <v>0</v>
          </cell>
          <cell r="J31">
            <v>0</v>
          </cell>
        </row>
        <row r="32">
          <cell r="A32" t="str">
            <v>2H 17</v>
          </cell>
          <cell r="B32">
            <v>0</v>
          </cell>
          <cell r="C32">
            <v>0</v>
          </cell>
          <cell r="D32">
            <v>0</v>
          </cell>
          <cell r="E32">
            <v>0</v>
          </cell>
          <cell r="F32">
            <v>0</v>
          </cell>
          <cell r="G32">
            <v>0</v>
          </cell>
          <cell r="H32">
            <v>0</v>
          </cell>
          <cell r="I32">
            <v>0</v>
          </cell>
          <cell r="J32">
            <v>0</v>
          </cell>
        </row>
        <row r="33">
          <cell r="A33" t="str">
            <v>1H 18</v>
          </cell>
          <cell r="B33">
            <v>0</v>
          </cell>
          <cell r="C33">
            <v>0</v>
          </cell>
          <cell r="D33">
            <v>0</v>
          </cell>
          <cell r="E33">
            <v>0</v>
          </cell>
          <cell r="F33">
            <v>0</v>
          </cell>
          <cell r="G33">
            <v>0</v>
          </cell>
          <cell r="H33">
            <v>0</v>
          </cell>
          <cell r="I33">
            <v>0</v>
          </cell>
          <cell r="J33">
            <v>0</v>
          </cell>
        </row>
        <row r="34">
          <cell r="A34" t="str">
            <v>2H 18</v>
          </cell>
          <cell r="B34">
            <v>0</v>
          </cell>
          <cell r="C34">
            <v>0</v>
          </cell>
          <cell r="D34">
            <v>0</v>
          </cell>
          <cell r="E34">
            <v>0</v>
          </cell>
          <cell r="F34">
            <v>0</v>
          </cell>
          <cell r="G34">
            <v>0</v>
          </cell>
          <cell r="H34">
            <v>0</v>
          </cell>
          <cell r="I34">
            <v>0</v>
          </cell>
          <cell r="J34">
            <v>0</v>
          </cell>
        </row>
        <row r="35">
          <cell r="A35" t="str">
            <v>1H 19</v>
          </cell>
          <cell r="B35">
            <v>0</v>
          </cell>
          <cell r="C35">
            <v>0</v>
          </cell>
          <cell r="D35">
            <v>0</v>
          </cell>
          <cell r="E35">
            <v>0</v>
          </cell>
          <cell r="F35">
            <v>0</v>
          </cell>
          <cell r="G35">
            <v>0</v>
          </cell>
          <cell r="H35">
            <v>0</v>
          </cell>
          <cell r="I35">
            <v>0</v>
          </cell>
          <cell r="J35">
            <v>0</v>
          </cell>
        </row>
        <row r="36">
          <cell r="A36" t="str">
            <v>2H 19</v>
          </cell>
          <cell r="B36">
            <v>0</v>
          </cell>
          <cell r="C36">
            <v>0</v>
          </cell>
          <cell r="D36">
            <v>0</v>
          </cell>
          <cell r="E36">
            <v>0</v>
          </cell>
          <cell r="F36">
            <v>0</v>
          </cell>
          <cell r="G36">
            <v>0</v>
          </cell>
          <cell r="H36">
            <v>0</v>
          </cell>
          <cell r="I36">
            <v>0</v>
          </cell>
          <cell r="J36">
            <v>0</v>
          </cell>
        </row>
        <row r="37">
          <cell r="A37" t="str">
            <v>1H 20</v>
          </cell>
          <cell r="B37">
            <v>0</v>
          </cell>
          <cell r="C37">
            <v>0</v>
          </cell>
          <cell r="D37">
            <v>0</v>
          </cell>
          <cell r="E37">
            <v>0</v>
          </cell>
          <cell r="F37">
            <v>0</v>
          </cell>
          <cell r="G37">
            <v>0</v>
          </cell>
          <cell r="H37">
            <v>0</v>
          </cell>
          <cell r="I37">
            <v>0</v>
          </cell>
          <cell r="J37">
            <v>0</v>
          </cell>
        </row>
        <row r="38">
          <cell r="A38" t="str">
            <v>2H 20</v>
          </cell>
          <cell r="B38">
            <v>0</v>
          </cell>
          <cell r="C38">
            <v>0</v>
          </cell>
          <cell r="D38">
            <v>0</v>
          </cell>
          <cell r="E38">
            <v>0</v>
          </cell>
          <cell r="F38">
            <v>0</v>
          </cell>
          <cell r="G38">
            <v>0</v>
          </cell>
          <cell r="H38">
            <v>0</v>
          </cell>
          <cell r="I38">
            <v>0</v>
          </cell>
          <cell r="J38">
            <v>0</v>
          </cell>
        </row>
      </sheetData>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2"/>
    <pageSetUpPr fitToPage="1"/>
  </sheetPr>
  <dimension ref="B1:Q41"/>
  <sheetViews>
    <sheetView view="pageLayout" zoomScaleNormal="100" workbookViewId="0">
      <selection activeCell="B17" sqref="B17"/>
    </sheetView>
  </sheetViews>
  <sheetFormatPr defaultColWidth="9.140625" defaultRowHeight="12.75" x14ac:dyDescent="0.2"/>
  <cols>
    <col min="1" max="1" width="9.140625" style="9"/>
    <col min="2" max="2" width="23.28515625" style="9" customWidth="1"/>
    <col min="3" max="3" width="24.7109375" style="9" customWidth="1"/>
    <col min="4" max="4" width="22.7109375" style="9" customWidth="1"/>
    <col min="5" max="5" width="22.140625" style="9" customWidth="1"/>
    <col min="6" max="6" width="18.28515625" style="9" customWidth="1"/>
    <col min="7" max="7" width="12.7109375" style="9" customWidth="1"/>
    <col min="8" max="8" width="15" style="9" customWidth="1"/>
    <col min="9" max="9" width="12.7109375" style="9" customWidth="1"/>
    <col min="10" max="10" width="22.42578125" style="9" customWidth="1"/>
    <col min="11" max="12" width="12.7109375" style="9" customWidth="1"/>
    <col min="13" max="13" width="5" style="9" customWidth="1"/>
    <col min="14" max="16384" width="9.140625" style="9"/>
  </cols>
  <sheetData>
    <row r="1" spans="2:17" ht="13.5" thickBot="1" x14ac:dyDescent="0.25"/>
    <row r="2" spans="2:17" ht="35.25" customHeight="1" x14ac:dyDescent="0.2">
      <c r="B2" s="296" t="s">
        <v>19</v>
      </c>
      <c r="C2" s="297"/>
      <c r="D2" s="297"/>
      <c r="E2" s="297"/>
      <c r="F2" s="297"/>
      <c r="G2" s="297"/>
      <c r="H2" s="297"/>
      <c r="I2" s="297"/>
      <c r="J2" s="297"/>
      <c r="K2" s="297"/>
      <c r="L2" s="298"/>
    </row>
    <row r="3" spans="2:17" ht="28.5" customHeight="1" x14ac:dyDescent="0.2">
      <c r="B3" s="299" t="s">
        <v>1</v>
      </c>
      <c r="C3" s="300"/>
      <c r="D3" s="302">
        <v>41918</v>
      </c>
      <c r="E3" s="292"/>
      <c r="F3" s="292"/>
      <c r="G3" s="292"/>
      <c r="H3" s="292"/>
      <c r="I3" s="292"/>
      <c r="J3" s="292"/>
      <c r="K3" s="292"/>
      <c r="L3" s="293"/>
    </row>
    <row r="4" spans="2:17" ht="28.5" customHeight="1" x14ac:dyDescent="0.2">
      <c r="B4" s="299" t="s">
        <v>11</v>
      </c>
      <c r="C4" s="300"/>
      <c r="D4" s="292" t="s">
        <v>630</v>
      </c>
      <c r="E4" s="292"/>
      <c r="F4" s="292"/>
      <c r="G4" s="292"/>
      <c r="H4" s="292"/>
      <c r="I4" s="292"/>
      <c r="J4" s="292"/>
      <c r="K4" s="292"/>
      <c r="L4" s="293"/>
    </row>
    <row r="5" spans="2:17" ht="28.5" customHeight="1" x14ac:dyDescent="0.2">
      <c r="B5" s="299" t="s">
        <v>12</v>
      </c>
      <c r="C5" s="300"/>
      <c r="D5" s="292"/>
      <c r="E5" s="292"/>
      <c r="F5" s="292"/>
      <c r="G5" s="292"/>
      <c r="H5" s="292"/>
      <c r="I5" s="292"/>
      <c r="J5" s="292"/>
      <c r="K5" s="292"/>
      <c r="L5" s="293"/>
    </row>
    <row r="6" spans="2:17" ht="28.5" customHeight="1" x14ac:dyDescent="0.2">
      <c r="B6" s="299" t="s">
        <v>13</v>
      </c>
      <c r="C6" s="300"/>
      <c r="D6" s="292" t="s">
        <v>631</v>
      </c>
      <c r="E6" s="292"/>
      <c r="F6" s="292"/>
      <c r="G6" s="292"/>
      <c r="H6" s="292"/>
      <c r="I6" s="292"/>
      <c r="J6" s="292"/>
      <c r="K6" s="292"/>
      <c r="L6" s="293"/>
    </row>
    <row r="7" spans="2:17" s="10" customFormat="1" ht="28.5" customHeight="1" x14ac:dyDescent="0.2">
      <c r="B7" s="299" t="s">
        <v>65</v>
      </c>
      <c r="C7" s="300"/>
      <c r="D7" s="303" t="s">
        <v>632</v>
      </c>
      <c r="E7" s="304"/>
      <c r="F7" s="304"/>
      <c r="G7" s="304"/>
      <c r="H7" s="304"/>
      <c r="I7" s="304"/>
      <c r="J7" s="304"/>
      <c r="K7" s="304"/>
      <c r="L7" s="305"/>
    </row>
    <row r="8" spans="2:17" s="10" customFormat="1" ht="28.5" customHeight="1" x14ac:dyDescent="0.2">
      <c r="B8" s="299" t="s">
        <v>62</v>
      </c>
      <c r="C8" s="300"/>
      <c r="D8" s="292" t="s">
        <v>633</v>
      </c>
      <c r="E8" s="292"/>
      <c r="F8" s="292"/>
      <c r="G8" s="292"/>
      <c r="H8" s="292"/>
      <c r="I8" s="292"/>
      <c r="J8" s="292"/>
      <c r="K8" s="292"/>
      <c r="L8" s="293"/>
    </row>
    <row r="9" spans="2:17" s="10" customFormat="1" ht="36.75" customHeight="1" x14ac:dyDescent="0.2">
      <c r="B9" s="299" t="s">
        <v>63</v>
      </c>
      <c r="C9" s="300"/>
      <c r="D9" s="306" t="s">
        <v>634</v>
      </c>
      <c r="E9" s="306"/>
      <c r="F9" s="306"/>
      <c r="G9" s="306"/>
      <c r="H9" s="306"/>
      <c r="I9" s="306"/>
      <c r="J9" s="306"/>
      <c r="K9" s="306"/>
      <c r="L9" s="307"/>
    </row>
    <row r="10" spans="2:17" s="10" customFormat="1" ht="28.5" customHeight="1" x14ac:dyDescent="0.2">
      <c r="B10" s="299" t="s">
        <v>14</v>
      </c>
      <c r="C10" s="301"/>
      <c r="D10" s="306"/>
      <c r="E10" s="306"/>
      <c r="F10" s="306"/>
      <c r="G10" s="306"/>
      <c r="H10" s="306"/>
      <c r="I10" s="306"/>
      <c r="J10" s="306"/>
      <c r="K10" s="306"/>
      <c r="L10" s="307"/>
    </row>
    <row r="11" spans="2:17" s="10" customFormat="1" ht="28.5" customHeight="1" x14ac:dyDescent="0.2">
      <c r="B11" s="41"/>
      <c r="C11" s="27"/>
      <c r="D11" s="28"/>
      <c r="E11" s="28"/>
      <c r="F11" s="45"/>
      <c r="G11" s="40"/>
      <c r="H11" s="40"/>
      <c r="I11" s="40"/>
      <c r="J11" s="40"/>
      <c r="K11" s="40"/>
      <c r="L11" s="40"/>
    </row>
    <row r="12" spans="2:17" s="10" customFormat="1" ht="30" customHeight="1" x14ac:dyDescent="0.2">
      <c r="B12" s="295" t="s">
        <v>33</v>
      </c>
      <c r="C12" s="284"/>
      <c r="D12" s="284"/>
      <c r="E12" s="285"/>
      <c r="F12" s="46"/>
      <c r="G12" s="33"/>
      <c r="H12" s="33"/>
      <c r="I12" s="33"/>
      <c r="J12" s="33"/>
      <c r="K12" s="33"/>
      <c r="L12" s="33"/>
    </row>
    <row r="13" spans="2:17" s="2" customFormat="1" ht="25.5" customHeight="1" x14ac:dyDescent="0.2">
      <c r="B13" s="44" t="s">
        <v>31</v>
      </c>
      <c r="C13" s="43" t="s">
        <v>32</v>
      </c>
      <c r="D13" s="294" t="s">
        <v>0</v>
      </c>
      <c r="E13" s="285"/>
      <c r="F13" s="46"/>
      <c r="Q13" s="2" t="s">
        <v>30</v>
      </c>
    </row>
    <row r="14" spans="2:17" ht="18" customHeight="1" x14ac:dyDescent="0.2">
      <c r="B14" s="30" t="s">
        <v>124</v>
      </c>
      <c r="C14" s="142" t="s">
        <v>125</v>
      </c>
      <c r="D14" s="291" t="s">
        <v>126</v>
      </c>
      <c r="E14" s="290"/>
      <c r="F14" s="47"/>
    </row>
    <row r="15" spans="2:17" ht="18" customHeight="1" x14ac:dyDescent="0.2">
      <c r="B15" s="30" t="s">
        <v>127</v>
      </c>
      <c r="C15" s="142" t="s">
        <v>128</v>
      </c>
      <c r="D15" s="291" t="s">
        <v>339</v>
      </c>
      <c r="E15" s="290"/>
      <c r="F15" s="47"/>
    </row>
    <row r="16" spans="2:17" ht="18" customHeight="1" x14ac:dyDescent="0.2">
      <c r="B16" s="30" t="s">
        <v>336</v>
      </c>
      <c r="C16" s="142" t="s">
        <v>337</v>
      </c>
      <c r="D16" s="291" t="s">
        <v>338</v>
      </c>
      <c r="E16" s="290"/>
      <c r="F16" s="47"/>
    </row>
    <row r="17" spans="2:8" ht="18" customHeight="1" x14ac:dyDescent="0.2">
      <c r="B17" s="30" t="s">
        <v>340</v>
      </c>
      <c r="C17" s="142" t="s">
        <v>129</v>
      </c>
      <c r="D17" s="291" t="s">
        <v>635</v>
      </c>
      <c r="E17" s="290"/>
      <c r="F17" s="47"/>
    </row>
    <row r="18" spans="2:8" ht="18" customHeight="1" x14ac:dyDescent="0.2">
      <c r="B18" s="30" t="s">
        <v>130</v>
      </c>
      <c r="C18" s="142" t="s">
        <v>131</v>
      </c>
      <c r="D18" s="291" t="s">
        <v>132</v>
      </c>
      <c r="E18" s="290"/>
      <c r="F18" s="47"/>
    </row>
    <row r="19" spans="2:8" ht="18" customHeight="1" x14ac:dyDescent="0.2">
      <c r="B19" s="30"/>
      <c r="C19" s="42"/>
      <c r="D19" s="289"/>
      <c r="E19" s="290"/>
      <c r="F19" s="47"/>
    </row>
    <row r="20" spans="2:8" ht="18" customHeight="1" x14ac:dyDescent="0.2">
      <c r="B20" s="30"/>
      <c r="C20" s="42"/>
      <c r="D20" s="289"/>
      <c r="E20" s="290"/>
      <c r="F20" s="47"/>
    </row>
    <row r="21" spans="2:8" ht="18" customHeight="1" x14ac:dyDescent="0.2">
      <c r="B21" s="30"/>
      <c r="C21" s="42"/>
      <c r="D21" s="289"/>
      <c r="E21" s="290"/>
      <c r="F21" s="47"/>
    </row>
    <row r="22" spans="2:8" ht="18" customHeight="1" x14ac:dyDescent="0.2">
      <c r="B22" s="30"/>
      <c r="C22" s="42"/>
      <c r="D22" s="289"/>
      <c r="E22" s="290"/>
      <c r="F22" s="47"/>
    </row>
    <row r="23" spans="2:8" ht="18" customHeight="1" x14ac:dyDescent="0.2">
      <c r="B23" s="30"/>
      <c r="C23" s="42"/>
      <c r="D23" s="289"/>
      <c r="E23" s="290"/>
      <c r="F23" s="47"/>
    </row>
    <row r="26" spans="2:8" ht="22.5" customHeight="1" x14ac:dyDescent="0.2">
      <c r="B26" s="280" t="s">
        <v>39</v>
      </c>
      <c r="C26" s="281"/>
      <c r="D26" s="281"/>
      <c r="E26" s="281"/>
      <c r="F26" s="281"/>
      <c r="G26" s="281"/>
      <c r="H26" s="282"/>
    </row>
    <row r="27" spans="2:8" ht="27" customHeight="1" x14ac:dyDescent="0.2">
      <c r="B27" s="29" t="s">
        <v>40</v>
      </c>
      <c r="C27" s="29" t="s">
        <v>31</v>
      </c>
      <c r="D27" s="29" t="s">
        <v>32</v>
      </c>
      <c r="E27" s="283" t="s">
        <v>41</v>
      </c>
      <c r="F27" s="284"/>
      <c r="G27" s="285"/>
      <c r="H27" s="29" t="s">
        <v>42</v>
      </c>
    </row>
    <row r="28" spans="2:8" ht="29.25" customHeight="1" x14ac:dyDescent="0.2">
      <c r="B28" s="32" t="s">
        <v>133</v>
      </c>
      <c r="C28" s="143" t="s">
        <v>134</v>
      </c>
      <c r="D28" s="143" t="s">
        <v>135</v>
      </c>
      <c r="E28" s="286" t="s">
        <v>139</v>
      </c>
      <c r="F28" s="287"/>
      <c r="G28" s="288"/>
      <c r="H28" s="144">
        <v>41918</v>
      </c>
    </row>
    <row r="29" spans="2:8" ht="20.25" customHeight="1" x14ac:dyDescent="0.2">
      <c r="B29" s="32" t="s">
        <v>136</v>
      </c>
      <c r="C29" s="143" t="s">
        <v>137</v>
      </c>
      <c r="D29" s="143" t="s">
        <v>138</v>
      </c>
      <c r="E29" s="286" t="s">
        <v>139</v>
      </c>
      <c r="F29" s="287"/>
      <c r="G29" s="288"/>
      <c r="H29" s="144">
        <v>41918</v>
      </c>
    </row>
    <row r="33" spans="2:8" x14ac:dyDescent="0.2">
      <c r="B33" s="278" t="s">
        <v>34</v>
      </c>
      <c r="C33" s="279"/>
      <c r="D33" s="279"/>
      <c r="E33" s="279"/>
      <c r="F33" s="279"/>
      <c r="G33" s="277"/>
      <c r="H33" s="277"/>
    </row>
    <row r="34" spans="2:8" x14ac:dyDescent="0.2">
      <c r="B34" s="279"/>
      <c r="C34" s="279"/>
      <c r="D34" s="279"/>
      <c r="E34" s="279"/>
      <c r="F34" s="279"/>
      <c r="G34" s="277"/>
      <c r="H34" s="277"/>
    </row>
    <row r="35" spans="2:8" ht="25.5" customHeight="1" x14ac:dyDescent="0.2">
      <c r="B35" s="34" t="s">
        <v>35</v>
      </c>
      <c r="C35" s="34" t="s">
        <v>49</v>
      </c>
      <c r="D35" s="34" t="s">
        <v>36</v>
      </c>
      <c r="E35" s="35" t="s">
        <v>37</v>
      </c>
      <c r="F35" s="276" t="s">
        <v>38</v>
      </c>
      <c r="G35" s="277"/>
      <c r="H35" s="277"/>
    </row>
    <row r="36" spans="2:8" ht="22.5" customHeight="1" x14ac:dyDescent="0.2">
      <c r="B36" s="36"/>
      <c r="C36" s="37"/>
      <c r="D36" s="38"/>
      <c r="E36" s="38"/>
      <c r="F36" s="274"/>
      <c r="G36" s="275"/>
      <c r="H36" s="275"/>
    </row>
    <row r="37" spans="2:8" ht="22.5" customHeight="1" x14ac:dyDescent="0.2">
      <c r="B37" s="36"/>
      <c r="C37" s="37"/>
      <c r="D37" s="38"/>
      <c r="E37" s="38"/>
      <c r="F37" s="274"/>
      <c r="G37" s="275"/>
      <c r="H37" s="275"/>
    </row>
    <row r="38" spans="2:8" ht="22.5" customHeight="1" x14ac:dyDescent="0.2">
      <c r="B38" s="36"/>
      <c r="C38" s="37"/>
      <c r="D38" s="38"/>
      <c r="E38" s="38"/>
      <c r="F38" s="274"/>
      <c r="G38" s="275"/>
      <c r="H38" s="275"/>
    </row>
    <row r="39" spans="2:8" ht="22.5" customHeight="1" x14ac:dyDescent="0.2">
      <c r="B39" s="36"/>
      <c r="C39" s="37"/>
      <c r="D39" s="38"/>
      <c r="E39" s="38"/>
      <c r="F39" s="274"/>
      <c r="G39" s="275"/>
      <c r="H39" s="275"/>
    </row>
    <row r="41" spans="2:8" x14ac:dyDescent="0.2">
      <c r="B41" s="31" t="s">
        <v>30</v>
      </c>
    </row>
  </sheetData>
  <mergeCells count="39">
    <mergeCell ref="B2:L2"/>
    <mergeCell ref="B8:C8"/>
    <mergeCell ref="B9:C9"/>
    <mergeCell ref="B10:C10"/>
    <mergeCell ref="D8:L8"/>
    <mergeCell ref="B7:C7"/>
    <mergeCell ref="D3:L3"/>
    <mergeCell ref="B4:C4"/>
    <mergeCell ref="B5:C5"/>
    <mergeCell ref="B6:C6"/>
    <mergeCell ref="D7:L7"/>
    <mergeCell ref="B3:C3"/>
    <mergeCell ref="D9:L9"/>
    <mergeCell ref="D10:L10"/>
    <mergeCell ref="D23:E23"/>
    <mergeCell ref="D18:E18"/>
    <mergeCell ref="D4:L4"/>
    <mergeCell ref="D5:L5"/>
    <mergeCell ref="D6:L6"/>
    <mergeCell ref="D13:E13"/>
    <mergeCell ref="B12:E12"/>
    <mergeCell ref="D21:E21"/>
    <mergeCell ref="D22:E22"/>
    <mergeCell ref="D19:E19"/>
    <mergeCell ref="D20:E20"/>
    <mergeCell ref="D14:E14"/>
    <mergeCell ref="D15:E15"/>
    <mergeCell ref="D16:E16"/>
    <mergeCell ref="D17:E17"/>
    <mergeCell ref="F39:H39"/>
    <mergeCell ref="F35:H35"/>
    <mergeCell ref="B33:H34"/>
    <mergeCell ref="B26:H26"/>
    <mergeCell ref="F36:H36"/>
    <mergeCell ref="F37:H37"/>
    <mergeCell ref="F38:H38"/>
    <mergeCell ref="E27:G27"/>
    <mergeCell ref="E28:G28"/>
    <mergeCell ref="E29:G29"/>
  </mergeCells>
  <phoneticPr fontId="0" type="noConversion"/>
  <pageMargins left="0.35433070866141736" right="0.27559055118110237" top="1.299212598425197" bottom="0.62992125984251968" header="0.27559055118110237" footer="0.27559055118110237"/>
  <pageSetup paperSize="8" scale="81"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14.0 
Issue Date: 03/07/2014&amp;R&amp;8Page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pageSetUpPr fitToPage="1"/>
  </sheetPr>
  <dimension ref="A1:D45"/>
  <sheetViews>
    <sheetView view="pageLayout" zoomScaleNormal="100" workbookViewId="0">
      <selection activeCell="D79" sqref="D79"/>
    </sheetView>
  </sheetViews>
  <sheetFormatPr defaultColWidth="9.140625" defaultRowHeight="12.75" x14ac:dyDescent="0.2"/>
  <cols>
    <col min="1" max="1" width="6" style="11" customWidth="1"/>
    <col min="2" max="2" width="18.85546875" style="11" customWidth="1"/>
    <col min="3" max="3" width="45.28515625" style="11" customWidth="1"/>
    <col min="4" max="4" width="42.85546875" style="11" customWidth="1"/>
    <col min="5" max="16384" width="9.140625" style="11"/>
  </cols>
  <sheetData>
    <row r="1" spans="1:4" ht="27" customHeight="1" x14ac:dyDescent="0.2">
      <c r="A1" s="308" t="s">
        <v>20</v>
      </c>
      <c r="B1" s="309"/>
      <c r="C1" s="309"/>
      <c r="D1" s="310"/>
    </row>
    <row r="2" spans="1:4" ht="21" customHeight="1" x14ac:dyDescent="0.2">
      <c r="A2" s="48" t="s">
        <v>15</v>
      </c>
      <c r="B2" s="48" t="s">
        <v>16</v>
      </c>
      <c r="C2" s="48" t="s">
        <v>17</v>
      </c>
      <c r="D2" s="48" t="s">
        <v>2</v>
      </c>
    </row>
    <row r="3" spans="1:4" ht="21" customHeight="1" x14ac:dyDescent="0.2">
      <c r="A3" s="177">
        <v>1</v>
      </c>
      <c r="B3" s="178" t="s">
        <v>140</v>
      </c>
      <c r="C3" s="178" t="s">
        <v>141</v>
      </c>
      <c r="D3" s="49"/>
    </row>
    <row r="4" spans="1:4" ht="21" customHeight="1" x14ac:dyDescent="0.2">
      <c r="A4" s="177">
        <f>+A3+1</f>
        <v>2</v>
      </c>
      <c r="B4" s="178" t="s">
        <v>142</v>
      </c>
      <c r="C4" s="178" t="s">
        <v>153</v>
      </c>
      <c r="D4" s="49"/>
    </row>
    <row r="5" spans="1:4" ht="21" customHeight="1" x14ac:dyDescent="0.2">
      <c r="A5" s="177">
        <f t="shared" ref="A5:A45" si="0">+A4+1</f>
        <v>3</v>
      </c>
      <c r="B5" s="178" t="s">
        <v>143</v>
      </c>
      <c r="C5" s="178" t="s">
        <v>158</v>
      </c>
      <c r="D5" s="49"/>
    </row>
    <row r="6" spans="1:4" ht="21" customHeight="1" x14ac:dyDescent="0.2">
      <c r="A6" s="177">
        <f t="shared" si="0"/>
        <v>4</v>
      </c>
      <c r="B6" s="178" t="s">
        <v>144</v>
      </c>
      <c r="C6" s="178" t="s">
        <v>159</v>
      </c>
      <c r="D6" s="49"/>
    </row>
    <row r="7" spans="1:4" ht="21" customHeight="1" x14ac:dyDescent="0.2">
      <c r="A7" s="177">
        <f t="shared" si="0"/>
        <v>5</v>
      </c>
      <c r="B7" s="178" t="s">
        <v>145</v>
      </c>
      <c r="C7" s="178" t="s">
        <v>154</v>
      </c>
      <c r="D7" s="49"/>
    </row>
    <row r="8" spans="1:4" ht="21" customHeight="1" x14ac:dyDescent="0.2">
      <c r="A8" s="177">
        <f t="shared" si="0"/>
        <v>6</v>
      </c>
      <c r="B8" s="178" t="s">
        <v>562</v>
      </c>
      <c r="C8" s="178" t="s">
        <v>563</v>
      </c>
      <c r="D8" s="49"/>
    </row>
    <row r="9" spans="1:4" ht="21" customHeight="1" x14ac:dyDescent="0.2">
      <c r="A9" s="177">
        <f t="shared" si="0"/>
        <v>7</v>
      </c>
      <c r="B9" s="178" t="s">
        <v>146</v>
      </c>
      <c r="C9" s="178" t="s">
        <v>160</v>
      </c>
      <c r="D9" s="49"/>
    </row>
    <row r="10" spans="1:4" ht="21" customHeight="1" x14ac:dyDescent="0.2">
      <c r="A10" s="177">
        <f t="shared" si="0"/>
        <v>8</v>
      </c>
      <c r="B10" s="178" t="s">
        <v>564</v>
      </c>
      <c r="C10" s="178" t="s">
        <v>565</v>
      </c>
      <c r="D10" s="49"/>
    </row>
    <row r="11" spans="1:4" ht="21" customHeight="1" x14ac:dyDescent="0.2">
      <c r="A11" s="177">
        <f t="shared" si="0"/>
        <v>9</v>
      </c>
      <c r="B11" s="178" t="s">
        <v>147</v>
      </c>
      <c r="C11" s="178" t="s">
        <v>163</v>
      </c>
      <c r="D11" s="49"/>
    </row>
    <row r="12" spans="1:4" ht="21" customHeight="1" x14ac:dyDescent="0.2">
      <c r="A12" s="177">
        <f t="shared" si="0"/>
        <v>10</v>
      </c>
      <c r="B12" s="178" t="s">
        <v>566</v>
      </c>
      <c r="C12" s="178" t="s">
        <v>567</v>
      </c>
      <c r="D12" s="49"/>
    </row>
    <row r="13" spans="1:4" ht="21" customHeight="1" x14ac:dyDescent="0.2">
      <c r="A13" s="177">
        <f t="shared" si="0"/>
        <v>11</v>
      </c>
      <c r="B13" s="178" t="s">
        <v>568</v>
      </c>
      <c r="C13" s="178" t="s">
        <v>569</v>
      </c>
      <c r="D13" s="49"/>
    </row>
    <row r="14" spans="1:4" ht="21" customHeight="1" x14ac:dyDescent="0.2">
      <c r="A14" s="177">
        <f t="shared" si="0"/>
        <v>12</v>
      </c>
      <c r="B14" s="178" t="s">
        <v>570</v>
      </c>
      <c r="C14" s="178" t="s">
        <v>571</v>
      </c>
      <c r="D14" s="49"/>
    </row>
    <row r="15" spans="1:4" ht="21" customHeight="1" x14ac:dyDescent="0.2">
      <c r="A15" s="177">
        <f t="shared" si="0"/>
        <v>13</v>
      </c>
      <c r="B15" s="178" t="s">
        <v>572</v>
      </c>
      <c r="C15" s="178" t="s">
        <v>573</v>
      </c>
      <c r="D15" s="49"/>
    </row>
    <row r="16" spans="1:4" ht="21" customHeight="1" x14ac:dyDescent="0.2">
      <c r="A16" s="177">
        <f t="shared" si="0"/>
        <v>14</v>
      </c>
      <c r="B16" s="178" t="s">
        <v>574</v>
      </c>
      <c r="C16" s="178" t="s">
        <v>204</v>
      </c>
      <c r="D16" s="49"/>
    </row>
    <row r="17" spans="1:4" ht="21" customHeight="1" x14ac:dyDescent="0.2">
      <c r="A17" s="177">
        <f t="shared" si="0"/>
        <v>15</v>
      </c>
      <c r="B17" s="178" t="s">
        <v>148</v>
      </c>
      <c r="C17" s="178" t="s">
        <v>155</v>
      </c>
      <c r="D17" s="49"/>
    </row>
    <row r="18" spans="1:4" ht="21" customHeight="1" x14ac:dyDescent="0.2">
      <c r="A18" s="177">
        <f t="shared" si="0"/>
        <v>16</v>
      </c>
      <c r="B18" s="178" t="s">
        <v>149</v>
      </c>
      <c r="C18" s="178" t="s">
        <v>156</v>
      </c>
      <c r="D18" s="49"/>
    </row>
    <row r="19" spans="1:4" ht="21" customHeight="1" x14ac:dyDescent="0.2">
      <c r="A19" s="177">
        <f t="shared" si="0"/>
        <v>17</v>
      </c>
      <c r="B19" s="178" t="s">
        <v>575</v>
      </c>
      <c r="C19" s="178" t="s">
        <v>576</v>
      </c>
      <c r="D19" s="49"/>
    </row>
    <row r="20" spans="1:4" ht="21" customHeight="1" x14ac:dyDescent="0.2">
      <c r="A20" s="177">
        <f t="shared" si="0"/>
        <v>18</v>
      </c>
      <c r="B20" s="178" t="s">
        <v>150</v>
      </c>
      <c r="C20" s="178" t="s">
        <v>161</v>
      </c>
      <c r="D20" s="49"/>
    </row>
    <row r="21" spans="1:4" ht="21" customHeight="1" x14ac:dyDescent="0.2">
      <c r="A21" s="177">
        <f t="shared" si="0"/>
        <v>19</v>
      </c>
      <c r="B21" s="178" t="s">
        <v>577</v>
      </c>
      <c r="C21" s="178" t="s">
        <v>578</v>
      </c>
      <c r="D21" s="49"/>
    </row>
    <row r="22" spans="1:4" ht="21" customHeight="1" x14ac:dyDescent="0.2">
      <c r="A22" s="177">
        <f t="shared" si="0"/>
        <v>20</v>
      </c>
      <c r="B22" s="178" t="s">
        <v>579</v>
      </c>
      <c r="C22" s="178" t="s">
        <v>580</v>
      </c>
      <c r="D22" s="49"/>
    </row>
    <row r="23" spans="1:4" ht="21" customHeight="1" x14ac:dyDescent="0.2">
      <c r="A23" s="177">
        <f t="shared" si="0"/>
        <v>21</v>
      </c>
      <c r="B23" s="178" t="s">
        <v>581</v>
      </c>
      <c r="C23" s="178" t="s">
        <v>582</v>
      </c>
      <c r="D23" s="49"/>
    </row>
    <row r="24" spans="1:4" ht="21" customHeight="1" x14ac:dyDescent="0.2">
      <c r="A24" s="177">
        <f t="shared" si="0"/>
        <v>22</v>
      </c>
      <c r="B24" s="178" t="s">
        <v>583</v>
      </c>
      <c r="C24" s="178" t="s">
        <v>584</v>
      </c>
      <c r="D24" s="49"/>
    </row>
    <row r="25" spans="1:4" ht="21" customHeight="1" x14ac:dyDescent="0.2">
      <c r="A25" s="177">
        <f t="shared" si="0"/>
        <v>23</v>
      </c>
      <c r="B25" s="178" t="s">
        <v>151</v>
      </c>
      <c r="C25" s="178" t="s">
        <v>162</v>
      </c>
      <c r="D25" s="49"/>
    </row>
    <row r="26" spans="1:4" ht="21" customHeight="1" x14ac:dyDescent="0.2">
      <c r="A26" s="177">
        <f t="shared" si="0"/>
        <v>24</v>
      </c>
      <c r="B26" s="178" t="s">
        <v>152</v>
      </c>
      <c r="C26" s="178" t="s">
        <v>157</v>
      </c>
      <c r="D26" s="49"/>
    </row>
    <row r="27" spans="1:4" ht="21" customHeight="1" x14ac:dyDescent="0.2">
      <c r="A27" s="177">
        <f t="shared" si="0"/>
        <v>25</v>
      </c>
      <c r="B27" s="178" t="s">
        <v>585</v>
      </c>
      <c r="C27" s="178" t="s">
        <v>586</v>
      </c>
      <c r="D27" s="49"/>
    </row>
    <row r="28" spans="1:4" ht="21" customHeight="1" x14ac:dyDescent="0.2">
      <c r="A28" s="177">
        <f t="shared" si="0"/>
        <v>26</v>
      </c>
      <c r="B28" s="178" t="s">
        <v>587</v>
      </c>
      <c r="C28" s="178" t="s">
        <v>588</v>
      </c>
      <c r="D28" s="49"/>
    </row>
    <row r="29" spans="1:4" ht="21" customHeight="1" x14ac:dyDescent="0.2">
      <c r="A29" s="177">
        <f t="shared" si="0"/>
        <v>27</v>
      </c>
      <c r="B29" s="178" t="s">
        <v>589</v>
      </c>
      <c r="C29" s="178" t="s">
        <v>590</v>
      </c>
      <c r="D29" s="49"/>
    </row>
    <row r="30" spans="1:4" ht="21" customHeight="1" x14ac:dyDescent="0.2">
      <c r="A30" s="177">
        <f t="shared" si="0"/>
        <v>28</v>
      </c>
      <c r="B30" s="178" t="s">
        <v>591</v>
      </c>
      <c r="C30" s="178" t="s">
        <v>592</v>
      </c>
      <c r="D30" s="49"/>
    </row>
    <row r="31" spans="1:4" ht="21" customHeight="1" x14ac:dyDescent="0.2">
      <c r="A31" s="177">
        <f t="shared" si="0"/>
        <v>29</v>
      </c>
      <c r="B31" s="178" t="s">
        <v>593</v>
      </c>
      <c r="C31" s="178" t="s">
        <v>594</v>
      </c>
      <c r="D31" s="49"/>
    </row>
    <row r="32" spans="1:4" ht="21" customHeight="1" x14ac:dyDescent="0.2">
      <c r="A32" s="177">
        <f t="shared" si="0"/>
        <v>30</v>
      </c>
      <c r="B32" s="178" t="s">
        <v>595</v>
      </c>
      <c r="C32" s="178" t="s">
        <v>596</v>
      </c>
      <c r="D32" s="49"/>
    </row>
    <row r="33" spans="1:4" ht="21" customHeight="1" x14ac:dyDescent="0.2">
      <c r="A33" s="177">
        <f t="shared" si="0"/>
        <v>31</v>
      </c>
      <c r="B33" s="178" t="s">
        <v>597</v>
      </c>
      <c r="C33" s="178" t="s">
        <v>598</v>
      </c>
      <c r="D33" s="49"/>
    </row>
    <row r="34" spans="1:4" ht="21" customHeight="1" x14ac:dyDescent="0.2">
      <c r="A34" s="177">
        <f t="shared" si="0"/>
        <v>32</v>
      </c>
      <c r="B34" s="178" t="s">
        <v>599</v>
      </c>
      <c r="C34" s="178" t="s">
        <v>600</v>
      </c>
      <c r="D34" s="49"/>
    </row>
    <row r="35" spans="1:4" ht="21" customHeight="1" x14ac:dyDescent="0.2">
      <c r="A35" s="177">
        <f t="shared" si="0"/>
        <v>33</v>
      </c>
      <c r="B35" s="178" t="s">
        <v>601</v>
      </c>
      <c r="C35" s="178" t="s">
        <v>602</v>
      </c>
      <c r="D35" s="49"/>
    </row>
    <row r="36" spans="1:4" ht="21" customHeight="1" x14ac:dyDescent="0.2">
      <c r="A36" s="177">
        <f t="shared" si="0"/>
        <v>34</v>
      </c>
      <c r="B36" s="178" t="s">
        <v>603</v>
      </c>
      <c r="C36" s="178" t="s">
        <v>604</v>
      </c>
      <c r="D36" s="49"/>
    </row>
    <row r="37" spans="1:4" ht="21" customHeight="1" x14ac:dyDescent="0.2">
      <c r="A37" s="177">
        <f t="shared" si="0"/>
        <v>35</v>
      </c>
      <c r="B37" s="178" t="s">
        <v>605</v>
      </c>
      <c r="C37" s="178" t="s">
        <v>606</v>
      </c>
      <c r="D37" s="49"/>
    </row>
    <row r="38" spans="1:4" ht="21" customHeight="1" x14ac:dyDescent="0.2">
      <c r="A38" s="177">
        <f t="shared" si="0"/>
        <v>36</v>
      </c>
      <c r="B38" s="178" t="s">
        <v>607</v>
      </c>
      <c r="C38" s="178" t="s">
        <v>53</v>
      </c>
      <c r="D38" s="49"/>
    </row>
    <row r="39" spans="1:4" ht="21" customHeight="1" x14ac:dyDescent="0.2">
      <c r="A39" s="177">
        <f t="shared" si="0"/>
        <v>37</v>
      </c>
      <c r="B39" s="178" t="s">
        <v>608</v>
      </c>
      <c r="C39" s="178" t="s">
        <v>609</v>
      </c>
      <c r="D39" s="49"/>
    </row>
    <row r="40" spans="1:4" ht="27" x14ac:dyDescent="0.2">
      <c r="A40" s="177">
        <f t="shared" si="0"/>
        <v>38</v>
      </c>
      <c r="B40" s="178" t="s">
        <v>610</v>
      </c>
      <c r="C40" s="178" t="s">
        <v>611</v>
      </c>
    </row>
    <row r="41" spans="1:4" ht="13.5" x14ac:dyDescent="0.2">
      <c r="A41" s="177">
        <f t="shared" si="0"/>
        <v>39</v>
      </c>
      <c r="B41" s="178" t="s">
        <v>612</v>
      </c>
      <c r="C41" s="178" t="s">
        <v>613</v>
      </c>
    </row>
    <row r="42" spans="1:4" ht="13.5" x14ac:dyDescent="0.2">
      <c r="A42" s="177">
        <f t="shared" si="0"/>
        <v>40</v>
      </c>
      <c r="B42" s="178" t="s">
        <v>614</v>
      </c>
      <c r="C42" s="178" t="s">
        <v>615</v>
      </c>
    </row>
    <row r="43" spans="1:4" ht="13.5" x14ac:dyDescent="0.2">
      <c r="A43" s="177">
        <f t="shared" si="0"/>
        <v>41</v>
      </c>
      <c r="B43" s="178" t="s">
        <v>616</v>
      </c>
      <c r="C43" s="178" t="s">
        <v>617</v>
      </c>
    </row>
    <row r="44" spans="1:4" ht="13.5" x14ac:dyDescent="0.2">
      <c r="A44" s="177">
        <f t="shared" si="0"/>
        <v>42</v>
      </c>
      <c r="B44" s="178" t="s">
        <v>618</v>
      </c>
      <c r="C44" s="178" t="s">
        <v>619</v>
      </c>
    </row>
    <row r="45" spans="1:4" ht="13.5" x14ac:dyDescent="0.2">
      <c r="A45" s="177">
        <f t="shared" si="0"/>
        <v>43</v>
      </c>
      <c r="B45" s="178" t="s">
        <v>620</v>
      </c>
      <c r="C45" s="178" t="s">
        <v>621</v>
      </c>
    </row>
  </sheetData>
  <mergeCells count="1">
    <mergeCell ref="A1:D1"/>
  </mergeCells>
  <phoneticPr fontId="10" type="noConversion"/>
  <pageMargins left="0.35433070866141736" right="0.27559055118110237" top="1.299212598425197" bottom="0.62992125984251968" header="0.27559055118110237" footer="0.27559055118110237"/>
  <pageSetup paperSize="8" scale="7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14.0 
Issue Date: 03/07/2014&amp;R&amp;8Page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10"/>
    <pageSetUpPr fitToPage="1"/>
  </sheetPr>
  <dimension ref="A1:AM163"/>
  <sheetViews>
    <sheetView tabSelected="1" view="pageBreakPreview" topLeftCell="A12" zoomScaleNormal="100" zoomScaleSheetLayoutView="100" zoomScalePageLayoutView="80" workbookViewId="0">
      <selection activeCell="D8" sqref="D8"/>
    </sheetView>
  </sheetViews>
  <sheetFormatPr defaultColWidth="9.140625" defaultRowHeight="15" x14ac:dyDescent="0.2"/>
  <cols>
    <col min="1" max="1" width="5.28515625" style="192" customWidth="1"/>
    <col min="2" max="2" width="27.140625" style="153" customWidth="1"/>
    <col min="3" max="3" width="25" style="153" customWidth="1"/>
    <col min="4" max="4" width="25.5703125" style="153" customWidth="1"/>
    <col min="5" max="5" width="41" style="153" customWidth="1"/>
    <col min="6" max="6" width="20.85546875" style="153" customWidth="1"/>
    <col min="7" max="7" width="11.42578125" style="153" customWidth="1"/>
    <col min="8" max="8" width="37.28515625" style="153" customWidth="1"/>
    <col min="9" max="9" width="41.85546875" style="158" customWidth="1"/>
    <col min="10" max="10" width="45" style="153" customWidth="1"/>
    <col min="11" max="11" width="22" style="153" customWidth="1"/>
    <col min="12" max="12" width="6.42578125" style="159" customWidth="1"/>
    <col min="13" max="14" width="6.28515625" style="159" customWidth="1"/>
    <col min="15" max="15" width="43.140625" style="153" customWidth="1"/>
    <col min="16" max="16" width="13" style="159" customWidth="1"/>
    <col min="17" max="17" width="10.42578125" style="153" customWidth="1"/>
    <col min="18" max="18" width="1.85546875" style="1" customWidth="1"/>
    <col min="19" max="19" width="9.140625" style="1"/>
    <col min="20" max="20" width="5.7109375" style="1" customWidth="1"/>
    <col min="21" max="21" width="9.140625" style="1"/>
    <col min="22" max="22" width="5" style="1" customWidth="1"/>
    <col min="23" max="30" width="11" style="11" customWidth="1"/>
    <col min="31" max="32" width="9.140625" style="1"/>
    <col min="33" max="33" width="9.85546875" style="1" customWidth="1"/>
    <col min="34" max="34" width="16.7109375" style="1" bestFit="1" customWidth="1"/>
    <col min="35" max="16384" width="9.140625" style="1"/>
  </cols>
  <sheetData>
    <row r="1" spans="1:39" ht="2.25" customHeight="1" thickBot="1" x14ac:dyDescent="0.25">
      <c r="A1" s="189"/>
      <c r="B1" s="163" t="s">
        <v>52</v>
      </c>
      <c r="C1" s="164" t="s">
        <v>53</v>
      </c>
      <c r="D1" s="164" t="s">
        <v>54</v>
      </c>
      <c r="E1" s="164" t="s">
        <v>60</v>
      </c>
      <c r="F1" s="164" t="s">
        <v>55</v>
      </c>
      <c r="G1" s="165">
        <v>4</v>
      </c>
      <c r="H1" s="164" t="s">
        <v>56</v>
      </c>
      <c r="I1" s="164" t="s">
        <v>57</v>
      </c>
      <c r="J1" s="164" t="s">
        <v>58</v>
      </c>
      <c r="K1" s="164" t="s">
        <v>55</v>
      </c>
      <c r="L1" s="165">
        <v>30</v>
      </c>
      <c r="M1" s="165">
        <v>0.3</v>
      </c>
      <c r="N1" s="165">
        <f t="shared" ref="N1" si="0">L1*M1</f>
        <v>9</v>
      </c>
      <c r="O1" s="164" t="s">
        <v>59</v>
      </c>
      <c r="P1" s="164"/>
      <c r="Q1" s="164"/>
    </row>
    <row r="2" spans="1:39" ht="45.75" hidden="1" customHeight="1" thickBot="1" x14ac:dyDescent="0.25">
      <c r="A2" s="314" t="str">
        <f>+'Cover Page'!D7</f>
        <v>Weeli Wolli Creek Newman Mainline 291km Bridge - Earthworks, Siteworks</v>
      </c>
      <c r="B2" s="315"/>
      <c r="C2" s="315"/>
      <c r="D2" s="315"/>
      <c r="E2" s="315"/>
      <c r="F2" s="315"/>
      <c r="G2" s="316"/>
      <c r="H2" s="316"/>
      <c r="I2" s="316"/>
      <c r="J2" s="316"/>
      <c r="K2" s="316"/>
      <c r="L2" s="315"/>
      <c r="M2" s="315"/>
      <c r="N2" s="315"/>
      <c r="O2" s="315"/>
      <c r="P2" s="315"/>
      <c r="Q2" s="315"/>
    </row>
    <row r="3" spans="1:39" ht="66.75" customHeight="1" thickBot="1" x14ac:dyDescent="0.3">
      <c r="A3" s="321" t="s">
        <v>4</v>
      </c>
      <c r="B3" s="323" t="s">
        <v>362</v>
      </c>
      <c r="C3" s="323" t="s">
        <v>9</v>
      </c>
      <c r="D3" s="333" t="s">
        <v>363</v>
      </c>
      <c r="E3" s="319" t="s">
        <v>364</v>
      </c>
      <c r="F3" s="319" t="s">
        <v>365</v>
      </c>
      <c r="G3" s="319" t="s">
        <v>366</v>
      </c>
      <c r="H3" s="319" t="s">
        <v>46</v>
      </c>
      <c r="I3" s="317" t="s">
        <v>10</v>
      </c>
      <c r="J3" s="318"/>
      <c r="K3" s="319" t="s">
        <v>367</v>
      </c>
      <c r="L3" s="325" t="s">
        <v>24</v>
      </c>
      <c r="M3" s="326"/>
      <c r="N3" s="326"/>
      <c r="O3" s="327" t="s">
        <v>5</v>
      </c>
      <c r="P3" s="329" t="s">
        <v>18</v>
      </c>
      <c r="Q3" s="331" t="s">
        <v>3</v>
      </c>
      <c r="AB3" s="51" t="s">
        <v>30</v>
      </c>
    </row>
    <row r="4" spans="1:39" s="14" customFormat="1" ht="54.75" customHeight="1" thickBot="1" x14ac:dyDescent="0.25">
      <c r="A4" s="322"/>
      <c r="B4" s="324"/>
      <c r="C4" s="324"/>
      <c r="D4" s="334"/>
      <c r="E4" s="320"/>
      <c r="F4" s="320"/>
      <c r="G4" s="320"/>
      <c r="H4" s="320"/>
      <c r="I4" s="166" t="s">
        <v>43</v>
      </c>
      <c r="J4" s="167" t="s">
        <v>44</v>
      </c>
      <c r="K4" s="320"/>
      <c r="L4" s="168" t="s">
        <v>21</v>
      </c>
      <c r="M4" s="169" t="s">
        <v>22</v>
      </c>
      <c r="N4" s="169" t="s">
        <v>23</v>
      </c>
      <c r="O4" s="328"/>
      <c r="P4" s="330"/>
      <c r="Q4" s="332"/>
      <c r="W4" s="13"/>
      <c r="X4" s="13"/>
      <c r="Y4" s="13"/>
      <c r="Z4" s="13"/>
      <c r="AA4" s="13"/>
      <c r="AB4" s="13"/>
      <c r="AC4" s="13"/>
      <c r="AD4" s="13"/>
    </row>
    <row r="5" spans="1:39" s="14" customFormat="1" ht="18.75" customHeight="1" thickBot="1" x14ac:dyDescent="0.25">
      <c r="A5" s="311" t="s">
        <v>221</v>
      </c>
      <c r="B5" s="312"/>
      <c r="C5" s="312"/>
      <c r="D5" s="312"/>
      <c r="E5" s="312"/>
      <c r="F5" s="312"/>
      <c r="G5" s="312"/>
      <c r="H5" s="312"/>
      <c r="I5" s="312"/>
      <c r="J5" s="312"/>
      <c r="K5" s="312"/>
      <c r="L5" s="312"/>
      <c r="M5" s="312"/>
      <c r="N5" s="312"/>
      <c r="O5" s="312"/>
      <c r="P5" s="312"/>
      <c r="Q5" s="313"/>
      <c r="W5" s="13"/>
      <c r="X5" s="13"/>
      <c r="Y5" s="13"/>
      <c r="Z5" s="13"/>
      <c r="AA5" s="13"/>
      <c r="AB5" s="13"/>
      <c r="AC5" s="13"/>
      <c r="AD5" s="13"/>
    </row>
    <row r="6" spans="1:39" s="31" customFormat="1" ht="216" x14ac:dyDescent="0.2">
      <c r="A6" s="191" t="s">
        <v>636</v>
      </c>
      <c r="B6" s="156" t="s">
        <v>937</v>
      </c>
      <c r="C6" s="151" t="s">
        <v>183</v>
      </c>
      <c r="D6" s="170" t="s">
        <v>952</v>
      </c>
      <c r="E6" s="170" t="s">
        <v>460</v>
      </c>
      <c r="F6" s="170" t="s">
        <v>870</v>
      </c>
      <c r="G6" s="170">
        <v>5</v>
      </c>
      <c r="H6" s="170" t="s">
        <v>378</v>
      </c>
      <c r="I6" s="170" t="s">
        <v>945</v>
      </c>
      <c r="J6" s="170" t="s">
        <v>887</v>
      </c>
      <c r="K6" s="170" t="s">
        <v>261</v>
      </c>
      <c r="L6" s="171">
        <v>10</v>
      </c>
      <c r="M6" s="171">
        <v>0.3</v>
      </c>
      <c r="N6" s="172">
        <f t="shared" ref="N6" si="1">L6*M6</f>
        <v>3</v>
      </c>
      <c r="O6" s="173"/>
      <c r="P6" s="171"/>
      <c r="Q6" s="185"/>
      <c r="AL6" s="39"/>
      <c r="AM6" s="174"/>
    </row>
    <row r="7" spans="1:39" s="31" customFormat="1" ht="270" x14ac:dyDescent="0.2">
      <c r="A7" s="191" t="s">
        <v>638</v>
      </c>
      <c r="B7" s="156" t="s">
        <v>937</v>
      </c>
      <c r="C7" s="151" t="s">
        <v>184</v>
      </c>
      <c r="D7" s="170" t="s">
        <v>953</v>
      </c>
      <c r="E7" s="170" t="s">
        <v>425</v>
      </c>
      <c r="F7" s="170" t="s">
        <v>390</v>
      </c>
      <c r="G7" s="170">
        <v>4</v>
      </c>
      <c r="H7" s="173" t="s">
        <v>259</v>
      </c>
      <c r="I7" s="173" t="s">
        <v>946</v>
      </c>
      <c r="J7" s="173" t="s">
        <v>888</v>
      </c>
      <c r="K7" s="170" t="s">
        <v>871</v>
      </c>
      <c r="L7" s="171">
        <v>10</v>
      </c>
      <c r="M7" s="171">
        <v>1</v>
      </c>
      <c r="N7" s="172">
        <f t="shared" ref="N7" si="2">L7*M7</f>
        <v>10</v>
      </c>
      <c r="O7" s="173"/>
      <c r="P7" s="171"/>
      <c r="Q7" s="185"/>
      <c r="AL7" s="39"/>
      <c r="AM7" s="174"/>
    </row>
    <row r="8" spans="1:39" s="31" customFormat="1" ht="216" x14ac:dyDescent="0.2">
      <c r="A8" s="191" t="s">
        <v>642</v>
      </c>
      <c r="B8" s="156" t="s">
        <v>937</v>
      </c>
      <c r="C8" s="151" t="s">
        <v>644</v>
      </c>
      <c r="D8" s="170" t="s">
        <v>909</v>
      </c>
      <c r="E8" s="170" t="s">
        <v>527</v>
      </c>
      <c r="F8" s="170" t="s">
        <v>250</v>
      </c>
      <c r="G8" s="170">
        <v>4</v>
      </c>
      <c r="H8" s="170" t="s">
        <v>528</v>
      </c>
      <c r="I8" s="170" t="s">
        <v>947</v>
      </c>
      <c r="J8" s="170" t="s">
        <v>889</v>
      </c>
      <c r="K8" s="170" t="s">
        <v>872</v>
      </c>
      <c r="L8" s="171">
        <v>10</v>
      </c>
      <c r="M8" s="171">
        <v>1</v>
      </c>
      <c r="N8" s="172">
        <f t="shared" ref="N8:N10" si="3">L8*M8</f>
        <v>10</v>
      </c>
      <c r="O8" s="173"/>
      <c r="P8" s="171"/>
      <c r="Q8" s="185"/>
      <c r="AL8" s="39"/>
      <c r="AM8" s="174"/>
    </row>
    <row r="9" spans="1:39" s="31" customFormat="1" ht="106.5" customHeight="1" x14ac:dyDescent="0.2">
      <c r="A9" s="191" t="s">
        <v>637</v>
      </c>
      <c r="B9" s="156" t="s">
        <v>937</v>
      </c>
      <c r="C9" s="151" t="s">
        <v>950</v>
      </c>
      <c r="D9" s="170" t="s">
        <v>951</v>
      </c>
      <c r="E9" s="170" t="s">
        <v>262</v>
      </c>
      <c r="F9" s="170" t="s">
        <v>264</v>
      </c>
      <c r="G9" s="170">
        <v>4</v>
      </c>
      <c r="H9" s="170" t="s">
        <v>263</v>
      </c>
      <c r="I9" s="170" t="s">
        <v>265</v>
      </c>
      <c r="J9" s="170" t="s">
        <v>890</v>
      </c>
      <c r="K9" s="170" t="s">
        <v>873</v>
      </c>
      <c r="L9" s="171">
        <v>10</v>
      </c>
      <c r="M9" s="171">
        <v>1</v>
      </c>
      <c r="N9" s="172">
        <f t="shared" si="3"/>
        <v>10</v>
      </c>
      <c r="O9" s="173"/>
      <c r="P9" s="171"/>
      <c r="Q9" s="185"/>
      <c r="AL9" s="39"/>
      <c r="AM9" s="174"/>
    </row>
    <row r="10" spans="1:39" s="31" customFormat="1" ht="172.5" customHeight="1" x14ac:dyDescent="0.2">
      <c r="A10" s="191" t="s">
        <v>637</v>
      </c>
      <c r="B10" s="156" t="s">
        <v>937</v>
      </c>
      <c r="C10" s="151" t="s">
        <v>186</v>
      </c>
      <c r="D10" s="170" t="s">
        <v>910</v>
      </c>
      <c r="E10" s="170" t="s">
        <v>530</v>
      </c>
      <c r="F10" s="170" t="s">
        <v>264</v>
      </c>
      <c r="G10" s="170">
        <v>4</v>
      </c>
      <c r="H10" s="170" t="s">
        <v>379</v>
      </c>
      <c r="I10" s="173" t="s">
        <v>949</v>
      </c>
      <c r="J10" s="173" t="s">
        <v>948</v>
      </c>
      <c r="K10" s="170" t="s">
        <v>874</v>
      </c>
      <c r="L10" s="171">
        <v>10</v>
      </c>
      <c r="M10" s="171">
        <v>1</v>
      </c>
      <c r="N10" s="172">
        <f t="shared" si="3"/>
        <v>10</v>
      </c>
      <c r="O10" s="173"/>
      <c r="P10" s="171"/>
      <c r="Q10" s="185"/>
      <c r="AL10" s="39"/>
      <c r="AM10" s="174"/>
    </row>
    <row r="11" spans="1:39" s="31" customFormat="1" ht="159.75" customHeight="1" x14ac:dyDescent="0.2">
      <c r="A11" s="191" t="s">
        <v>638</v>
      </c>
      <c r="B11" s="156" t="s">
        <v>937</v>
      </c>
      <c r="C11" s="151" t="s">
        <v>187</v>
      </c>
      <c r="D11" s="170" t="s">
        <v>911</v>
      </c>
      <c r="E11" s="170" t="s">
        <v>380</v>
      </c>
      <c r="F11" s="170" t="s">
        <v>531</v>
      </c>
      <c r="G11" s="170">
        <v>4</v>
      </c>
      <c r="H11" s="170" t="s">
        <v>379</v>
      </c>
      <c r="I11" s="173" t="s">
        <v>383</v>
      </c>
      <c r="J11" s="173" t="s">
        <v>891</v>
      </c>
      <c r="K11" s="170" t="s">
        <v>874</v>
      </c>
      <c r="L11" s="171">
        <v>3</v>
      </c>
      <c r="M11" s="171">
        <v>1</v>
      </c>
      <c r="N11" s="172">
        <f t="shared" ref="N11:N14" si="4">L11*M11</f>
        <v>3</v>
      </c>
      <c r="O11" s="173"/>
      <c r="P11" s="171"/>
      <c r="Q11" s="185"/>
      <c r="AL11" s="39"/>
      <c r="AM11" s="174"/>
    </row>
    <row r="12" spans="1:39" s="31" customFormat="1" ht="136.5" customHeight="1" x14ac:dyDescent="0.2">
      <c r="A12" s="191" t="s">
        <v>638</v>
      </c>
      <c r="B12" s="156" t="s">
        <v>937</v>
      </c>
      <c r="C12" s="151" t="s">
        <v>182</v>
      </c>
      <c r="D12" s="170" t="s">
        <v>522</v>
      </c>
      <c r="E12" s="170" t="s">
        <v>521</v>
      </c>
      <c r="F12" s="170" t="s">
        <v>522</v>
      </c>
      <c r="G12" s="170">
        <v>4</v>
      </c>
      <c r="H12" s="170" t="s">
        <v>455</v>
      </c>
      <c r="I12" s="170" t="s">
        <v>532</v>
      </c>
      <c r="J12" s="170" t="s">
        <v>892</v>
      </c>
      <c r="K12" s="170" t="s">
        <v>258</v>
      </c>
      <c r="L12" s="171">
        <v>10</v>
      </c>
      <c r="M12" s="171">
        <v>1</v>
      </c>
      <c r="N12" s="172">
        <f t="shared" si="4"/>
        <v>10</v>
      </c>
      <c r="O12" s="173"/>
      <c r="P12" s="171"/>
      <c r="Q12" s="185"/>
      <c r="AL12" s="39"/>
      <c r="AM12" s="174"/>
    </row>
    <row r="13" spans="1:39" s="31" customFormat="1" ht="131.25" customHeight="1" x14ac:dyDescent="0.2">
      <c r="A13" s="191" t="s">
        <v>642</v>
      </c>
      <c r="B13" s="156" t="s">
        <v>937</v>
      </c>
      <c r="C13" s="151" t="s">
        <v>189</v>
      </c>
      <c r="D13" s="170" t="s">
        <v>912</v>
      </c>
      <c r="E13" s="170" t="s">
        <v>505</v>
      </c>
      <c r="F13" s="170" t="s">
        <v>243</v>
      </c>
      <c r="G13" s="170">
        <v>4</v>
      </c>
      <c r="H13" s="170" t="s">
        <v>535</v>
      </c>
      <c r="I13" s="170" t="s">
        <v>875</v>
      </c>
      <c r="J13" s="170" t="s">
        <v>893</v>
      </c>
      <c r="K13" s="170" t="s">
        <v>876</v>
      </c>
      <c r="L13" s="171">
        <v>3</v>
      </c>
      <c r="M13" s="171">
        <v>1</v>
      </c>
      <c r="N13" s="172">
        <f t="shared" si="4"/>
        <v>3</v>
      </c>
      <c r="O13" s="170"/>
      <c r="P13" s="171"/>
      <c r="Q13" s="185"/>
      <c r="AL13" s="39"/>
      <c r="AM13" s="174"/>
    </row>
    <row r="14" spans="1:39" s="31" customFormat="1" ht="256.5" x14ac:dyDescent="0.2">
      <c r="A14" s="191" t="s">
        <v>919</v>
      </c>
      <c r="B14" s="156" t="s">
        <v>937</v>
      </c>
      <c r="C14" s="151" t="s">
        <v>913</v>
      </c>
      <c r="D14" s="170" t="s">
        <v>914</v>
      </c>
      <c r="E14" s="170" t="s">
        <v>927</v>
      </c>
      <c r="F14" s="170" t="s">
        <v>307</v>
      </c>
      <c r="G14" s="170">
        <v>4</v>
      </c>
      <c r="H14" s="170" t="s">
        <v>916</v>
      </c>
      <c r="I14" s="170" t="s">
        <v>915</v>
      </c>
      <c r="J14" s="170" t="s">
        <v>917</v>
      </c>
      <c r="K14" s="170" t="s">
        <v>918</v>
      </c>
      <c r="L14" s="171">
        <v>10</v>
      </c>
      <c r="M14" s="171">
        <v>1</v>
      </c>
      <c r="N14" s="172">
        <f t="shared" si="4"/>
        <v>10</v>
      </c>
      <c r="O14" s="170"/>
      <c r="P14" s="171"/>
      <c r="Q14" s="185"/>
      <c r="AL14" s="39"/>
      <c r="AM14" s="174"/>
    </row>
    <row r="15" spans="1:39" s="31" customFormat="1" ht="157.5" customHeight="1" x14ac:dyDescent="0.2">
      <c r="A15" s="191" t="s">
        <v>638</v>
      </c>
      <c r="B15" s="155" t="s">
        <v>223</v>
      </c>
      <c r="C15" s="151" t="s">
        <v>222</v>
      </c>
      <c r="D15" s="170" t="s">
        <v>877</v>
      </c>
      <c r="E15" s="173" t="s">
        <v>325</v>
      </c>
      <c r="F15" s="170" t="s">
        <v>307</v>
      </c>
      <c r="G15" s="170">
        <v>4</v>
      </c>
      <c r="H15" s="170" t="s">
        <v>299</v>
      </c>
      <c r="I15" s="170" t="s">
        <v>931</v>
      </c>
      <c r="J15" s="170" t="s">
        <v>932</v>
      </c>
      <c r="K15" s="170" t="s">
        <v>878</v>
      </c>
      <c r="L15" s="171">
        <v>10</v>
      </c>
      <c r="M15" s="171">
        <v>1</v>
      </c>
      <c r="N15" s="172">
        <f t="shared" ref="N15" si="5">L15*M15</f>
        <v>10</v>
      </c>
      <c r="O15" s="173"/>
      <c r="P15" s="171"/>
      <c r="Q15" s="185"/>
      <c r="AL15" s="39"/>
      <c r="AM15" s="174"/>
    </row>
    <row r="16" spans="1:39" s="31" customFormat="1" ht="101.25" customHeight="1" x14ac:dyDescent="0.2">
      <c r="A16" s="191" t="s">
        <v>636</v>
      </c>
      <c r="B16" s="155" t="s">
        <v>223</v>
      </c>
      <c r="C16" s="151" t="s">
        <v>190</v>
      </c>
      <c r="D16" s="170" t="s">
        <v>879</v>
      </c>
      <c r="E16" s="170" t="s">
        <v>306</v>
      </c>
      <c r="F16" s="170" t="s">
        <v>307</v>
      </c>
      <c r="G16" s="170">
        <v>4</v>
      </c>
      <c r="H16" s="170" t="s">
        <v>299</v>
      </c>
      <c r="I16" s="170" t="s">
        <v>453</v>
      </c>
      <c r="J16" s="170" t="s">
        <v>887</v>
      </c>
      <c r="K16" s="170" t="s">
        <v>405</v>
      </c>
      <c r="L16" s="171">
        <v>10</v>
      </c>
      <c r="M16" s="171">
        <v>1</v>
      </c>
      <c r="N16" s="172">
        <f t="shared" ref="N16:N56" si="6">L16*M16</f>
        <v>10</v>
      </c>
      <c r="O16" s="173"/>
      <c r="P16" s="171"/>
      <c r="Q16" s="185"/>
      <c r="AL16" s="39"/>
      <c r="AM16" s="174"/>
    </row>
    <row r="17" spans="1:39" s="31" customFormat="1" ht="108.75" customHeight="1" x14ac:dyDescent="0.2">
      <c r="A17" s="191" t="s">
        <v>638</v>
      </c>
      <c r="B17" s="155" t="s">
        <v>223</v>
      </c>
      <c r="C17" s="151" t="s">
        <v>471</v>
      </c>
      <c r="D17" s="170" t="s">
        <v>879</v>
      </c>
      <c r="E17" s="170" t="s">
        <v>430</v>
      </c>
      <c r="F17" s="170" t="s">
        <v>307</v>
      </c>
      <c r="G17" s="170">
        <v>4</v>
      </c>
      <c r="H17" s="170" t="s">
        <v>299</v>
      </c>
      <c r="I17" s="170" t="s">
        <v>934</v>
      </c>
      <c r="J17" s="170" t="s">
        <v>894</v>
      </c>
      <c r="K17" s="170" t="s">
        <v>406</v>
      </c>
      <c r="L17" s="171">
        <v>10</v>
      </c>
      <c r="M17" s="171">
        <v>1</v>
      </c>
      <c r="N17" s="172">
        <f t="shared" si="6"/>
        <v>10</v>
      </c>
      <c r="O17" s="173"/>
      <c r="P17" s="171"/>
      <c r="Q17" s="185"/>
      <c r="AL17" s="39"/>
      <c r="AM17" s="174"/>
    </row>
    <row r="18" spans="1:39" s="31" customFormat="1" ht="189" x14ac:dyDescent="0.2">
      <c r="A18" s="191" t="s">
        <v>642</v>
      </c>
      <c r="B18" s="155" t="s">
        <v>223</v>
      </c>
      <c r="C18" s="146" t="s">
        <v>224</v>
      </c>
      <c r="D18" s="170" t="s">
        <v>880</v>
      </c>
      <c r="E18" s="170" t="s">
        <v>431</v>
      </c>
      <c r="F18" s="170" t="s">
        <v>395</v>
      </c>
      <c r="G18" s="170">
        <v>3</v>
      </c>
      <c r="H18" s="170" t="s">
        <v>299</v>
      </c>
      <c r="I18" s="170" t="s">
        <v>935</v>
      </c>
      <c r="J18" s="170" t="s">
        <v>895</v>
      </c>
      <c r="K18" s="170" t="s">
        <v>396</v>
      </c>
      <c r="L18" s="171">
        <v>10</v>
      </c>
      <c r="M18" s="171">
        <v>1</v>
      </c>
      <c r="N18" s="172">
        <f t="shared" si="6"/>
        <v>10</v>
      </c>
      <c r="O18" s="173"/>
      <c r="P18" s="171"/>
      <c r="Q18" s="185"/>
      <c r="AL18" s="39"/>
      <c r="AM18" s="174"/>
    </row>
    <row r="19" spans="1:39" s="31" customFormat="1" ht="126.75" customHeight="1" x14ac:dyDescent="0.2">
      <c r="A19" s="191" t="s">
        <v>637</v>
      </c>
      <c r="B19" s="155" t="s">
        <v>223</v>
      </c>
      <c r="C19" s="152" t="s">
        <v>225</v>
      </c>
      <c r="D19" s="170" t="s">
        <v>300</v>
      </c>
      <c r="E19" s="170" t="s">
        <v>308</v>
      </c>
      <c r="F19" s="170" t="s">
        <v>309</v>
      </c>
      <c r="G19" s="170">
        <v>3</v>
      </c>
      <c r="H19" s="170" t="s">
        <v>310</v>
      </c>
      <c r="I19" s="170" t="s">
        <v>285</v>
      </c>
      <c r="J19" s="170" t="s">
        <v>901</v>
      </c>
      <c r="K19" s="170" t="s">
        <v>397</v>
      </c>
      <c r="L19" s="171">
        <v>10</v>
      </c>
      <c r="M19" s="171">
        <v>1</v>
      </c>
      <c r="N19" s="172">
        <f t="shared" si="6"/>
        <v>10</v>
      </c>
      <c r="O19" s="173"/>
      <c r="P19" s="171"/>
      <c r="Q19" s="185"/>
      <c r="AL19" s="39"/>
      <c r="AM19" s="174"/>
    </row>
    <row r="20" spans="1:39" s="31" customFormat="1" ht="216" x14ac:dyDescent="0.2">
      <c r="A20" s="191" t="s">
        <v>642</v>
      </c>
      <c r="B20" s="155" t="s">
        <v>223</v>
      </c>
      <c r="C20" s="151" t="s">
        <v>174</v>
      </c>
      <c r="D20" s="170" t="s">
        <v>301</v>
      </c>
      <c r="E20" s="184" t="s">
        <v>408</v>
      </c>
      <c r="F20" s="184" t="s">
        <v>407</v>
      </c>
      <c r="G20" s="170">
        <v>3</v>
      </c>
      <c r="H20" s="170" t="s">
        <v>299</v>
      </c>
      <c r="I20" s="170" t="s">
        <v>897</v>
      </c>
      <c r="J20" s="170" t="s">
        <v>896</v>
      </c>
      <c r="K20" s="170" t="s">
        <v>409</v>
      </c>
      <c r="L20" s="171">
        <v>10</v>
      </c>
      <c r="M20" s="171">
        <v>1</v>
      </c>
      <c r="N20" s="172">
        <f t="shared" si="6"/>
        <v>10</v>
      </c>
      <c r="O20" s="173"/>
      <c r="P20" s="171"/>
      <c r="Q20" s="185"/>
      <c r="AL20" s="39"/>
      <c r="AM20" s="174"/>
    </row>
    <row r="21" spans="1:39" s="31" customFormat="1" ht="107.25" customHeight="1" x14ac:dyDescent="0.2">
      <c r="A21" s="191" t="s">
        <v>637</v>
      </c>
      <c r="B21" s="155" t="s">
        <v>223</v>
      </c>
      <c r="C21" s="151" t="s">
        <v>226</v>
      </c>
      <c r="D21" s="170" t="s">
        <v>880</v>
      </c>
      <c r="E21" s="170" t="s">
        <v>313</v>
      </c>
      <c r="F21" s="170" t="s">
        <v>314</v>
      </c>
      <c r="G21" s="170">
        <v>3</v>
      </c>
      <c r="H21" s="170" t="s">
        <v>299</v>
      </c>
      <c r="I21" s="170" t="s">
        <v>382</v>
      </c>
      <c r="J21" s="170" t="s">
        <v>898</v>
      </c>
      <c r="K21" s="170" t="s">
        <v>397</v>
      </c>
      <c r="L21" s="171">
        <v>10</v>
      </c>
      <c r="M21" s="171">
        <v>1</v>
      </c>
      <c r="N21" s="172">
        <f t="shared" si="6"/>
        <v>10</v>
      </c>
      <c r="O21" s="173"/>
      <c r="P21" s="171"/>
      <c r="Q21" s="185"/>
      <c r="AL21" s="39"/>
      <c r="AM21" s="174"/>
    </row>
    <row r="22" spans="1:39" s="31" customFormat="1" ht="107.25" customHeight="1" x14ac:dyDescent="0.2">
      <c r="A22" s="191" t="s">
        <v>919</v>
      </c>
      <c r="B22" s="155" t="s">
        <v>223</v>
      </c>
      <c r="C22" s="151" t="s">
        <v>913</v>
      </c>
      <c r="D22" s="170" t="s">
        <v>922</v>
      </c>
      <c r="E22" s="170" t="s">
        <v>928</v>
      </c>
      <c r="F22" s="170" t="s">
        <v>307</v>
      </c>
      <c r="G22" s="170">
        <v>4</v>
      </c>
      <c r="H22" s="170" t="s">
        <v>916</v>
      </c>
      <c r="I22" s="170" t="s">
        <v>915</v>
      </c>
      <c r="J22" s="170" t="s">
        <v>917</v>
      </c>
      <c r="K22" s="170" t="s">
        <v>918</v>
      </c>
      <c r="L22" s="171">
        <v>10</v>
      </c>
      <c r="M22" s="171">
        <v>1</v>
      </c>
      <c r="N22" s="172">
        <f t="shared" si="6"/>
        <v>10</v>
      </c>
      <c r="O22" s="173"/>
      <c r="P22" s="171"/>
      <c r="Q22" s="185"/>
      <c r="AL22" s="39"/>
      <c r="AM22" s="174"/>
    </row>
    <row r="23" spans="1:39" s="31" customFormat="1" ht="150.75" customHeight="1" x14ac:dyDescent="0.2">
      <c r="A23" s="191" t="s">
        <v>638</v>
      </c>
      <c r="B23" s="156" t="s">
        <v>227</v>
      </c>
      <c r="C23" s="151" t="s">
        <v>222</v>
      </c>
      <c r="D23" s="170" t="s">
        <v>877</v>
      </c>
      <c r="E23" s="170" t="s">
        <v>318</v>
      </c>
      <c r="F23" s="170" t="s">
        <v>307</v>
      </c>
      <c r="G23" s="170">
        <v>5</v>
      </c>
      <c r="H23" s="170" t="s">
        <v>299</v>
      </c>
      <c r="I23" s="170" t="s">
        <v>933</v>
      </c>
      <c r="J23" s="170" t="s">
        <v>932</v>
      </c>
      <c r="K23" s="170" t="s">
        <v>410</v>
      </c>
      <c r="L23" s="171">
        <v>10</v>
      </c>
      <c r="M23" s="171">
        <v>1</v>
      </c>
      <c r="N23" s="172">
        <f t="shared" si="6"/>
        <v>10</v>
      </c>
      <c r="O23" s="173"/>
      <c r="P23" s="171"/>
      <c r="Q23" s="185"/>
      <c r="AL23" s="39"/>
      <c r="AM23" s="174"/>
    </row>
    <row r="24" spans="1:39" s="31" customFormat="1" ht="80.25" customHeight="1" x14ac:dyDescent="0.2">
      <c r="A24" s="191" t="s">
        <v>636</v>
      </c>
      <c r="B24" s="156" t="s">
        <v>227</v>
      </c>
      <c r="C24" s="151" t="s">
        <v>190</v>
      </c>
      <c r="D24" s="170" t="s">
        <v>880</v>
      </c>
      <c r="E24" s="170" t="s">
        <v>315</v>
      </c>
      <c r="F24" s="170" t="s">
        <v>314</v>
      </c>
      <c r="G24" s="170">
        <v>4</v>
      </c>
      <c r="H24" s="170" t="s">
        <v>299</v>
      </c>
      <c r="I24" s="170" t="s">
        <v>398</v>
      </c>
      <c r="J24" s="170" t="s">
        <v>887</v>
      </c>
      <c r="K24" s="170" t="s">
        <v>397</v>
      </c>
      <c r="L24" s="171">
        <v>10</v>
      </c>
      <c r="M24" s="171">
        <v>1</v>
      </c>
      <c r="N24" s="172">
        <f t="shared" si="6"/>
        <v>10</v>
      </c>
      <c r="O24" s="173"/>
      <c r="P24" s="171"/>
      <c r="Q24" s="185"/>
      <c r="AL24" s="39"/>
      <c r="AM24" s="174"/>
    </row>
    <row r="25" spans="1:39" s="31" customFormat="1" ht="96.75" customHeight="1" x14ac:dyDescent="0.2">
      <c r="A25" s="191" t="s">
        <v>638</v>
      </c>
      <c r="B25" s="156" t="s">
        <v>227</v>
      </c>
      <c r="C25" s="151" t="s">
        <v>476</v>
      </c>
      <c r="D25" s="170" t="s">
        <v>880</v>
      </c>
      <c r="E25" s="170" t="s">
        <v>316</v>
      </c>
      <c r="F25" s="170" t="s">
        <v>319</v>
      </c>
      <c r="G25" s="170">
        <v>4</v>
      </c>
      <c r="H25" s="170" t="s">
        <v>317</v>
      </c>
      <c r="I25" s="170" t="s">
        <v>477</v>
      </c>
      <c r="J25" s="170" t="s">
        <v>894</v>
      </c>
      <c r="K25" s="170" t="s">
        <v>878</v>
      </c>
      <c r="L25" s="171">
        <v>10</v>
      </c>
      <c r="M25" s="171">
        <v>1</v>
      </c>
      <c r="N25" s="172">
        <f t="shared" si="6"/>
        <v>10</v>
      </c>
      <c r="O25" s="173"/>
      <c r="P25" s="171"/>
      <c r="Q25" s="185"/>
      <c r="AL25" s="39"/>
      <c r="AM25" s="174"/>
    </row>
    <row r="26" spans="1:39" s="31" customFormat="1" ht="145.5" customHeight="1" x14ac:dyDescent="0.2">
      <c r="A26" s="191" t="s">
        <v>642</v>
      </c>
      <c r="B26" s="156" t="s">
        <v>227</v>
      </c>
      <c r="C26" s="146" t="s">
        <v>224</v>
      </c>
      <c r="D26" s="170" t="s">
        <v>880</v>
      </c>
      <c r="E26" s="170" t="s">
        <v>433</v>
      </c>
      <c r="F26" s="170" t="s">
        <v>307</v>
      </c>
      <c r="G26" s="170">
        <v>4</v>
      </c>
      <c r="H26" s="170" t="s">
        <v>299</v>
      </c>
      <c r="I26" s="170" t="s">
        <v>936</v>
      </c>
      <c r="J26" s="170" t="s">
        <v>895</v>
      </c>
      <c r="K26" s="170" t="s">
        <v>405</v>
      </c>
      <c r="L26" s="171">
        <v>10</v>
      </c>
      <c r="M26" s="171">
        <v>1</v>
      </c>
      <c r="N26" s="172">
        <f t="shared" si="6"/>
        <v>10</v>
      </c>
      <c r="O26" s="173"/>
      <c r="P26" s="171"/>
      <c r="Q26" s="185"/>
      <c r="AL26" s="39"/>
      <c r="AM26" s="174"/>
    </row>
    <row r="27" spans="1:39" s="31" customFormat="1" ht="171" customHeight="1" x14ac:dyDescent="0.2">
      <c r="A27" s="191" t="s">
        <v>636</v>
      </c>
      <c r="B27" s="156" t="s">
        <v>227</v>
      </c>
      <c r="C27" s="151" t="s">
        <v>181</v>
      </c>
      <c r="D27" s="170" t="s">
        <v>881</v>
      </c>
      <c r="E27" s="170" t="s">
        <v>318</v>
      </c>
      <c r="F27" s="170" t="s">
        <v>307</v>
      </c>
      <c r="G27" s="170">
        <v>4</v>
      </c>
      <c r="H27" s="170" t="s">
        <v>299</v>
      </c>
      <c r="I27" s="170" t="s">
        <v>399</v>
      </c>
      <c r="J27" s="170" t="s">
        <v>399</v>
      </c>
      <c r="K27" s="170" t="s">
        <v>882</v>
      </c>
      <c r="L27" s="171">
        <v>10</v>
      </c>
      <c r="M27" s="171">
        <v>1</v>
      </c>
      <c r="N27" s="172">
        <f t="shared" si="6"/>
        <v>10</v>
      </c>
      <c r="O27" s="173"/>
      <c r="P27" s="171"/>
      <c r="Q27" s="185"/>
      <c r="AL27" s="39"/>
      <c r="AM27" s="174"/>
    </row>
    <row r="28" spans="1:39" s="31" customFormat="1" ht="115.5" customHeight="1" x14ac:dyDescent="0.2">
      <c r="A28" s="191" t="s">
        <v>637</v>
      </c>
      <c r="B28" s="156" t="s">
        <v>227</v>
      </c>
      <c r="C28" s="151" t="s">
        <v>188</v>
      </c>
      <c r="D28" s="170" t="s">
        <v>880</v>
      </c>
      <c r="E28" s="170" t="s">
        <v>335</v>
      </c>
      <c r="F28" s="170" t="s">
        <v>307</v>
      </c>
      <c r="G28" s="170">
        <v>4</v>
      </c>
      <c r="H28" s="170" t="s">
        <v>455</v>
      </c>
      <c r="I28" s="170" t="s">
        <v>411</v>
      </c>
      <c r="J28" s="170" t="s">
        <v>899</v>
      </c>
      <c r="K28" s="170" t="s">
        <v>359</v>
      </c>
      <c r="L28" s="171">
        <v>10</v>
      </c>
      <c r="M28" s="171">
        <v>1</v>
      </c>
      <c r="N28" s="172">
        <f t="shared" si="6"/>
        <v>10</v>
      </c>
      <c r="O28" s="173"/>
      <c r="P28" s="171"/>
      <c r="Q28" s="185"/>
      <c r="AL28" s="39"/>
      <c r="AM28" s="174"/>
    </row>
    <row r="29" spans="1:39" s="31" customFormat="1" ht="211.5" customHeight="1" x14ac:dyDescent="0.2">
      <c r="A29" s="191" t="s">
        <v>642</v>
      </c>
      <c r="B29" s="156" t="s">
        <v>227</v>
      </c>
      <c r="C29" s="151" t="s">
        <v>174</v>
      </c>
      <c r="D29" s="170" t="s">
        <v>880</v>
      </c>
      <c r="E29" s="184" t="s">
        <v>444</v>
      </c>
      <c r="F29" s="184" t="s">
        <v>445</v>
      </c>
      <c r="G29" s="170"/>
      <c r="H29" s="170" t="s">
        <v>299</v>
      </c>
      <c r="I29" s="170" t="s">
        <v>474</v>
      </c>
      <c r="J29" s="170" t="s">
        <v>896</v>
      </c>
      <c r="K29" s="170"/>
      <c r="L29" s="171">
        <v>10</v>
      </c>
      <c r="M29" s="171">
        <v>1</v>
      </c>
      <c r="N29" s="172">
        <f t="shared" si="6"/>
        <v>10</v>
      </c>
      <c r="O29" s="173"/>
      <c r="P29" s="171"/>
      <c r="Q29" s="185"/>
      <c r="AL29" s="39"/>
      <c r="AM29" s="174"/>
    </row>
    <row r="30" spans="1:39" s="31" customFormat="1" ht="107.25" customHeight="1" x14ac:dyDescent="0.2">
      <c r="A30" s="191" t="s">
        <v>919</v>
      </c>
      <c r="B30" s="155" t="s">
        <v>920</v>
      </c>
      <c r="C30" s="151" t="s">
        <v>913</v>
      </c>
      <c r="D30" s="170" t="s">
        <v>923</v>
      </c>
      <c r="E30" s="170" t="s">
        <v>927</v>
      </c>
      <c r="F30" s="170" t="s">
        <v>307</v>
      </c>
      <c r="G30" s="170">
        <v>4</v>
      </c>
      <c r="H30" s="170" t="s">
        <v>916</v>
      </c>
      <c r="I30" s="170" t="s">
        <v>915</v>
      </c>
      <c r="J30" s="170" t="s">
        <v>917</v>
      </c>
      <c r="K30" s="170" t="s">
        <v>918</v>
      </c>
      <c r="L30" s="171">
        <v>10</v>
      </c>
      <c r="M30" s="171">
        <v>1</v>
      </c>
      <c r="N30" s="172">
        <f t="shared" ref="N30" si="7">L30*M30</f>
        <v>10</v>
      </c>
      <c r="O30" s="173"/>
      <c r="P30" s="171"/>
      <c r="Q30" s="185"/>
      <c r="AL30" s="39"/>
      <c r="AM30" s="174"/>
    </row>
    <row r="31" spans="1:39" s="31" customFormat="1" ht="99" customHeight="1" x14ac:dyDescent="0.2">
      <c r="A31" s="191" t="s">
        <v>636</v>
      </c>
      <c r="B31" s="156" t="s">
        <v>622</v>
      </c>
      <c r="C31" s="151" t="s">
        <v>228</v>
      </c>
      <c r="D31" s="170" t="s">
        <v>883</v>
      </c>
      <c r="E31" s="170" t="s">
        <v>323</v>
      </c>
      <c r="F31" s="170" t="s">
        <v>884</v>
      </c>
      <c r="G31" s="170">
        <v>3</v>
      </c>
      <c r="H31" s="170" t="s">
        <v>322</v>
      </c>
      <c r="I31" s="170" t="s">
        <v>479</v>
      </c>
      <c r="J31" s="170" t="s">
        <v>887</v>
      </c>
      <c r="K31" s="170" t="s">
        <v>400</v>
      </c>
      <c r="L31" s="171">
        <v>3</v>
      </c>
      <c r="M31" s="171">
        <v>1</v>
      </c>
      <c r="N31" s="172">
        <f t="shared" si="6"/>
        <v>3</v>
      </c>
      <c r="O31" s="173"/>
      <c r="P31" s="171"/>
      <c r="Q31" s="185"/>
      <c r="AL31" s="39"/>
      <c r="AM31" s="174"/>
    </row>
    <row r="32" spans="1:39" s="31" customFormat="1" ht="177.75" customHeight="1" x14ac:dyDescent="0.2">
      <c r="A32" s="191" t="s">
        <v>638</v>
      </c>
      <c r="B32" s="156" t="s">
        <v>623</v>
      </c>
      <c r="C32" s="151" t="s">
        <v>222</v>
      </c>
      <c r="D32" s="170" t="s">
        <v>881</v>
      </c>
      <c r="E32" s="173" t="s">
        <v>325</v>
      </c>
      <c r="F32" s="173" t="s">
        <v>326</v>
      </c>
      <c r="G32" s="170">
        <v>4</v>
      </c>
      <c r="H32" s="170" t="s">
        <v>327</v>
      </c>
      <c r="I32" s="170" t="s">
        <v>941</v>
      </c>
      <c r="J32" s="170" t="s">
        <v>932</v>
      </c>
      <c r="K32" s="170" t="s">
        <v>401</v>
      </c>
      <c r="L32" s="171">
        <v>10</v>
      </c>
      <c r="M32" s="171">
        <v>1</v>
      </c>
      <c r="N32" s="172">
        <f t="shared" si="6"/>
        <v>10</v>
      </c>
      <c r="O32" s="173"/>
      <c r="P32" s="171"/>
      <c r="Q32" s="185"/>
      <c r="AL32" s="39"/>
      <c r="AM32" s="174"/>
    </row>
    <row r="33" spans="1:39" s="31" customFormat="1" ht="94.5" customHeight="1" x14ac:dyDescent="0.2">
      <c r="A33" s="191" t="s">
        <v>638</v>
      </c>
      <c r="B33" s="156" t="s">
        <v>623</v>
      </c>
      <c r="C33" s="151" t="s">
        <v>476</v>
      </c>
      <c r="D33" s="170" t="s">
        <v>880</v>
      </c>
      <c r="E33" s="170" t="s">
        <v>480</v>
      </c>
      <c r="F33" s="170" t="s">
        <v>884</v>
      </c>
      <c r="G33" s="170">
        <v>4</v>
      </c>
      <c r="H33" s="170" t="s">
        <v>324</v>
      </c>
      <c r="I33" s="170" t="s">
        <v>477</v>
      </c>
      <c r="J33" s="170" t="s">
        <v>894</v>
      </c>
      <c r="K33" s="170"/>
      <c r="L33" s="171">
        <v>10</v>
      </c>
      <c r="M33" s="171">
        <v>1</v>
      </c>
      <c r="N33" s="172">
        <f t="shared" si="6"/>
        <v>10</v>
      </c>
      <c r="O33" s="173"/>
      <c r="P33" s="171"/>
      <c r="Q33" s="185"/>
      <c r="AL33" s="39"/>
      <c r="AM33" s="174"/>
    </row>
    <row r="34" spans="1:39" s="31" customFormat="1" ht="141" customHeight="1" x14ac:dyDescent="0.2">
      <c r="A34" s="191" t="s">
        <v>637</v>
      </c>
      <c r="B34" s="156" t="s">
        <v>623</v>
      </c>
      <c r="C34" s="152" t="s">
        <v>225</v>
      </c>
      <c r="D34" s="170" t="s">
        <v>880</v>
      </c>
      <c r="E34" s="187" t="s">
        <v>332</v>
      </c>
      <c r="F34" s="188" t="s">
        <v>333</v>
      </c>
      <c r="G34" s="170">
        <v>3</v>
      </c>
      <c r="H34" s="170" t="s">
        <v>481</v>
      </c>
      <c r="I34" s="170" t="s">
        <v>435</v>
      </c>
      <c r="J34" s="170" t="s">
        <v>901</v>
      </c>
      <c r="K34" s="170" t="s">
        <v>397</v>
      </c>
      <c r="L34" s="171">
        <v>3</v>
      </c>
      <c r="M34" s="171">
        <v>1</v>
      </c>
      <c r="N34" s="172">
        <f t="shared" si="6"/>
        <v>3</v>
      </c>
      <c r="O34" s="173"/>
      <c r="P34" s="171"/>
      <c r="Q34" s="185"/>
      <c r="AL34" s="39"/>
      <c r="AM34" s="174"/>
    </row>
    <row r="35" spans="1:39" s="31" customFormat="1" ht="216" customHeight="1" x14ac:dyDescent="0.2">
      <c r="A35" s="191" t="s">
        <v>638</v>
      </c>
      <c r="B35" s="156" t="s">
        <v>623</v>
      </c>
      <c r="C35" s="152" t="s">
        <v>229</v>
      </c>
      <c r="D35" s="170" t="s">
        <v>329</v>
      </c>
      <c r="E35" s="184" t="s">
        <v>330</v>
      </c>
      <c r="F35" s="170" t="s">
        <v>328</v>
      </c>
      <c r="G35" s="170">
        <v>4</v>
      </c>
      <c r="H35" s="170" t="s">
        <v>331</v>
      </c>
      <c r="I35" s="187" t="s">
        <v>402</v>
      </c>
      <c r="J35" s="187" t="s">
        <v>900</v>
      </c>
      <c r="K35" s="170" t="s">
        <v>355</v>
      </c>
      <c r="L35" s="171">
        <v>10</v>
      </c>
      <c r="M35" s="171">
        <v>1</v>
      </c>
      <c r="N35" s="172">
        <f t="shared" si="6"/>
        <v>10</v>
      </c>
      <c r="O35" s="173"/>
      <c r="P35" s="171"/>
      <c r="Q35" s="185"/>
      <c r="AL35" s="39"/>
      <c r="AM35" s="174"/>
    </row>
    <row r="36" spans="1:39" s="31" customFormat="1" ht="107.25" customHeight="1" x14ac:dyDescent="0.2">
      <c r="A36" s="191" t="s">
        <v>919</v>
      </c>
      <c r="B36" s="155" t="s">
        <v>623</v>
      </c>
      <c r="C36" s="151" t="s">
        <v>913</v>
      </c>
      <c r="D36" s="170" t="s">
        <v>914</v>
      </c>
      <c r="E36" s="170" t="s">
        <v>927</v>
      </c>
      <c r="F36" s="170" t="s">
        <v>307</v>
      </c>
      <c r="G36" s="170">
        <v>4</v>
      </c>
      <c r="H36" s="170" t="s">
        <v>916</v>
      </c>
      <c r="I36" s="170" t="s">
        <v>915</v>
      </c>
      <c r="J36" s="170" t="s">
        <v>917</v>
      </c>
      <c r="K36" s="170" t="s">
        <v>918</v>
      </c>
      <c r="L36" s="171">
        <v>10</v>
      </c>
      <c r="M36" s="171">
        <v>1</v>
      </c>
      <c r="N36" s="172">
        <f t="shared" si="6"/>
        <v>10</v>
      </c>
      <c r="O36" s="173"/>
      <c r="P36" s="171"/>
      <c r="Q36" s="185"/>
      <c r="AL36" s="39"/>
      <c r="AM36" s="174"/>
    </row>
    <row r="37" spans="1:39" s="31" customFormat="1" ht="149.25" customHeight="1" x14ac:dyDescent="0.2">
      <c r="A37" s="191" t="s">
        <v>636</v>
      </c>
      <c r="B37" s="156" t="s">
        <v>624</v>
      </c>
      <c r="C37" s="151" t="s">
        <v>230</v>
      </c>
      <c r="D37" s="170" t="s">
        <v>869</v>
      </c>
      <c r="E37" s="170" t="s">
        <v>482</v>
      </c>
      <c r="F37" s="170" t="s">
        <v>885</v>
      </c>
      <c r="G37" s="170">
        <v>4</v>
      </c>
      <c r="H37" s="170" t="s">
        <v>378</v>
      </c>
      <c r="I37" s="170" t="s">
        <v>942</v>
      </c>
      <c r="J37" s="170" t="s">
        <v>887</v>
      </c>
      <c r="K37" s="170"/>
      <c r="L37" s="171">
        <v>10</v>
      </c>
      <c r="M37" s="171">
        <v>1</v>
      </c>
      <c r="N37" s="172">
        <f t="shared" si="6"/>
        <v>10</v>
      </c>
      <c r="O37" s="173"/>
      <c r="P37" s="171"/>
      <c r="Q37" s="185"/>
      <c r="AL37" s="39"/>
      <c r="AM37" s="174"/>
    </row>
    <row r="38" spans="1:39" s="31" customFormat="1" ht="146.25" customHeight="1" x14ac:dyDescent="0.2">
      <c r="A38" s="191" t="s">
        <v>637</v>
      </c>
      <c r="B38" s="156" t="s">
        <v>624</v>
      </c>
      <c r="C38" s="152" t="s">
        <v>225</v>
      </c>
      <c r="D38" s="170" t="s">
        <v>334</v>
      </c>
      <c r="E38" s="187" t="s">
        <v>442</v>
      </c>
      <c r="F38" s="188" t="s">
        <v>439</v>
      </c>
      <c r="G38" s="170">
        <v>4</v>
      </c>
      <c r="H38" s="170" t="s">
        <v>481</v>
      </c>
      <c r="I38" s="184" t="s">
        <v>443</v>
      </c>
      <c r="J38" s="170" t="s">
        <v>901</v>
      </c>
      <c r="K38" s="170" t="s">
        <v>355</v>
      </c>
      <c r="L38" s="171">
        <v>10</v>
      </c>
      <c r="M38" s="171">
        <v>1</v>
      </c>
      <c r="N38" s="172">
        <f t="shared" si="6"/>
        <v>10</v>
      </c>
      <c r="O38" s="173"/>
      <c r="P38" s="171"/>
      <c r="Q38" s="185"/>
      <c r="AL38" s="39"/>
      <c r="AM38" s="174"/>
    </row>
    <row r="39" spans="1:39" s="31" customFormat="1" ht="107.25" customHeight="1" x14ac:dyDescent="0.2">
      <c r="A39" s="191" t="s">
        <v>919</v>
      </c>
      <c r="B39" s="155" t="s">
        <v>929</v>
      </c>
      <c r="C39" s="151" t="s">
        <v>913</v>
      </c>
      <c r="D39" s="170" t="s">
        <v>921</v>
      </c>
      <c r="E39" s="170" t="s">
        <v>928</v>
      </c>
      <c r="F39" s="170" t="s">
        <v>307</v>
      </c>
      <c r="G39" s="170">
        <v>4</v>
      </c>
      <c r="H39" s="170" t="s">
        <v>916</v>
      </c>
      <c r="I39" s="170" t="s">
        <v>915</v>
      </c>
      <c r="J39" s="170" t="s">
        <v>917</v>
      </c>
      <c r="K39" s="170" t="s">
        <v>918</v>
      </c>
      <c r="L39" s="171">
        <v>10</v>
      </c>
      <c r="M39" s="171">
        <v>1</v>
      </c>
      <c r="N39" s="172">
        <f t="shared" ref="N39" si="8">L39*M39</f>
        <v>10</v>
      </c>
      <c r="O39" s="173"/>
      <c r="P39" s="171"/>
      <c r="Q39" s="185"/>
      <c r="AL39" s="39"/>
      <c r="AM39" s="174"/>
    </row>
    <row r="40" spans="1:39" s="31" customFormat="1" ht="186" customHeight="1" x14ac:dyDescent="0.2">
      <c r="A40" s="191" t="s">
        <v>642</v>
      </c>
      <c r="B40" s="156" t="s">
        <v>625</v>
      </c>
      <c r="C40" s="146" t="s">
        <v>224</v>
      </c>
      <c r="D40" s="170" t="s">
        <v>334</v>
      </c>
      <c r="E40" s="187" t="s">
        <v>332</v>
      </c>
      <c r="F40" s="188" t="s">
        <v>439</v>
      </c>
      <c r="G40" s="170">
        <v>4</v>
      </c>
      <c r="H40" s="170" t="s">
        <v>481</v>
      </c>
      <c r="I40" s="170" t="s">
        <v>341</v>
      </c>
      <c r="J40" s="170" t="s">
        <v>895</v>
      </c>
      <c r="K40" s="170"/>
      <c r="L40" s="171">
        <v>10</v>
      </c>
      <c r="M40" s="171">
        <v>1</v>
      </c>
      <c r="N40" s="172">
        <f t="shared" si="6"/>
        <v>10</v>
      </c>
      <c r="O40" s="173"/>
      <c r="P40" s="171"/>
      <c r="Q40" s="185"/>
      <c r="AL40" s="39"/>
      <c r="AM40" s="174"/>
    </row>
    <row r="41" spans="1:39" s="31" customFormat="1" ht="202.5" x14ac:dyDescent="0.2">
      <c r="A41" s="191" t="s">
        <v>637</v>
      </c>
      <c r="B41" s="156" t="s">
        <v>625</v>
      </c>
      <c r="C41" s="152" t="s">
        <v>225</v>
      </c>
      <c r="D41" s="170" t="s">
        <v>334</v>
      </c>
      <c r="E41" s="187" t="s">
        <v>332</v>
      </c>
      <c r="F41" s="188" t="s">
        <v>333</v>
      </c>
      <c r="G41" s="170">
        <v>3</v>
      </c>
      <c r="H41" s="170" t="s">
        <v>481</v>
      </c>
      <c r="I41" s="170" t="s">
        <v>412</v>
      </c>
      <c r="J41" s="170" t="s">
        <v>901</v>
      </c>
      <c r="K41" s="170" t="s">
        <v>397</v>
      </c>
      <c r="L41" s="171">
        <v>10</v>
      </c>
      <c r="M41" s="171">
        <v>1</v>
      </c>
      <c r="N41" s="172">
        <f t="shared" si="6"/>
        <v>10</v>
      </c>
      <c r="O41" s="173"/>
      <c r="P41" s="171"/>
      <c r="Q41" s="185"/>
      <c r="AL41" s="39"/>
      <c r="AM41" s="174"/>
    </row>
    <row r="42" spans="1:39" s="31" customFormat="1" ht="159" customHeight="1" x14ac:dyDescent="0.2">
      <c r="A42" s="191" t="s">
        <v>636</v>
      </c>
      <c r="B42" s="156" t="s">
        <v>625</v>
      </c>
      <c r="C42" s="151" t="s">
        <v>181</v>
      </c>
      <c r="D42" s="170" t="s">
        <v>881</v>
      </c>
      <c r="E42" s="170" t="s">
        <v>318</v>
      </c>
      <c r="F42" s="170" t="s">
        <v>307</v>
      </c>
      <c r="G42" s="170">
        <v>4</v>
      </c>
      <c r="H42" s="170" t="s">
        <v>299</v>
      </c>
      <c r="I42" s="170" t="s">
        <v>413</v>
      </c>
      <c r="J42" s="170" t="s">
        <v>902</v>
      </c>
      <c r="K42" s="170" t="s">
        <v>403</v>
      </c>
      <c r="L42" s="171">
        <v>10</v>
      </c>
      <c r="M42" s="171">
        <v>1</v>
      </c>
      <c r="N42" s="172">
        <f t="shared" si="6"/>
        <v>10</v>
      </c>
      <c r="O42" s="173"/>
      <c r="P42" s="171"/>
      <c r="Q42" s="185"/>
      <c r="AL42" s="39"/>
      <c r="AM42" s="174"/>
    </row>
    <row r="43" spans="1:39" s="31" customFormat="1" ht="141.75" customHeight="1" x14ac:dyDescent="0.2">
      <c r="A43" s="191" t="s">
        <v>636</v>
      </c>
      <c r="B43" s="156" t="s">
        <v>231</v>
      </c>
      <c r="C43" s="151" t="s">
        <v>232</v>
      </c>
      <c r="D43" s="170" t="s">
        <v>869</v>
      </c>
      <c r="E43" s="170" t="s">
        <v>460</v>
      </c>
      <c r="F43" s="170" t="s">
        <v>885</v>
      </c>
      <c r="G43" s="170">
        <v>4</v>
      </c>
      <c r="H43" s="170" t="s">
        <v>378</v>
      </c>
      <c r="I43" s="170" t="s">
        <v>453</v>
      </c>
      <c r="J43" s="170" t="s">
        <v>887</v>
      </c>
      <c r="K43" s="170" t="s">
        <v>405</v>
      </c>
      <c r="L43" s="171">
        <v>10</v>
      </c>
      <c r="M43" s="171">
        <v>1</v>
      </c>
      <c r="N43" s="172">
        <f t="shared" ref="N43" si="9">L43*M43</f>
        <v>10</v>
      </c>
      <c r="O43" s="173"/>
      <c r="P43" s="171"/>
      <c r="Q43" s="185"/>
      <c r="AL43" s="39"/>
      <c r="AM43" s="174"/>
    </row>
    <row r="44" spans="1:39" s="31" customFormat="1" ht="162" x14ac:dyDescent="0.2">
      <c r="A44" s="191" t="s">
        <v>638</v>
      </c>
      <c r="B44" s="156" t="s">
        <v>231</v>
      </c>
      <c r="C44" s="151" t="s">
        <v>233</v>
      </c>
      <c r="D44" s="170" t="s">
        <v>877</v>
      </c>
      <c r="E44" s="170" t="s">
        <v>318</v>
      </c>
      <c r="F44" s="170" t="s">
        <v>307</v>
      </c>
      <c r="G44" s="170">
        <v>4</v>
      </c>
      <c r="H44" s="170" t="s">
        <v>299</v>
      </c>
      <c r="I44" s="170" t="s">
        <v>943</v>
      </c>
      <c r="J44" s="170" t="s">
        <v>932</v>
      </c>
      <c r="K44" s="170" t="s">
        <v>410</v>
      </c>
      <c r="L44" s="171">
        <v>10</v>
      </c>
      <c r="M44" s="171">
        <v>1</v>
      </c>
      <c r="N44" s="172">
        <f t="shared" si="6"/>
        <v>10</v>
      </c>
      <c r="O44" s="173"/>
      <c r="P44" s="171"/>
      <c r="Q44" s="185"/>
      <c r="AL44" s="39"/>
      <c r="AM44" s="174"/>
    </row>
    <row r="45" spans="1:39" s="31" customFormat="1" ht="99.75" customHeight="1" x14ac:dyDescent="0.2">
      <c r="A45" s="191" t="s">
        <v>638</v>
      </c>
      <c r="B45" s="156" t="s">
        <v>231</v>
      </c>
      <c r="C45" s="151" t="s">
        <v>234</v>
      </c>
      <c r="D45" s="170" t="s">
        <v>880</v>
      </c>
      <c r="E45" s="170" t="s">
        <v>480</v>
      </c>
      <c r="F45" s="170" t="s">
        <v>884</v>
      </c>
      <c r="G45" s="170">
        <v>3</v>
      </c>
      <c r="H45" s="170" t="s">
        <v>324</v>
      </c>
      <c r="I45" s="170" t="s">
        <v>477</v>
      </c>
      <c r="J45" s="170" t="s">
        <v>894</v>
      </c>
      <c r="K45" s="170" t="s">
        <v>359</v>
      </c>
      <c r="L45" s="171">
        <v>10</v>
      </c>
      <c r="M45" s="171">
        <v>1</v>
      </c>
      <c r="N45" s="172">
        <f t="shared" si="6"/>
        <v>10</v>
      </c>
      <c r="O45" s="173"/>
      <c r="P45" s="171"/>
      <c r="Q45" s="185"/>
      <c r="AL45" s="39"/>
      <c r="AM45" s="174"/>
    </row>
    <row r="46" spans="1:39" s="31" customFormat="1" ht="128.25" customHeight="1" x14ac:dyDescent="0.2">
      <c r="A46" s="191" t="s">
        <v>637</v>
      </c>
      <c r="B46" s="156" t="s">
        <v>231</v>
      </c>
      <c r="C46" s="152" t="s">
        <v>225</v>
      </c>
      <c r="D46" s="170" t="s">
        <v>880</v>
      </c>
      <c r="E46" s="187" t="s">
        <v>332</v>
      </c>
      <c r="F46" s="188" t="s">
        <v>333</v>
      </c>
      <c r="G46" s="170">
        <v>3</v>
      </c>
      <c r="H46" s="170" t="s">
        <v>481</v>
      </c>
      <c r="I46" s="170" t="s">
        <v>285</v>
      </c>
      <c r="J46" s="170" t="s">
        <v>901</v>
      </c>
      <c r="K46" s="170" t="s">
        <v>355</v>
      </c>
      <c r="L46" s="171">
        <v>10</v>
      </c>
      <c r="M46" s="171">
        <v>1</v>
      </c>
      <c r="N46" s="172">
        <f t="shared" si="6"/>
        <v>10</v>
      </c>
      <c r="O46" s="173"/>
      <c r="P46" s="171"/>
      <c r="Q46" s="185"/>
      <c r="AL46" s="39"/>
      <c r="AM46" s="174"/>
    </row>
    <row r="47" spans="1:39" s="31" customFormat="1" ht="207" customHeight="1" x14ac:dyDescent="0.2">
      <c r="A47" s="191" t="s">
        <v>642</v>
      </c>
      <c r="B47" s="156" t="s">
        <v>231</v>
      </c>
      <c r="C47" s="151" t="s">
        <v>174</v>
      </c>
      <c r="D47" s="170" t="s">
        <v>301</v>
      </c>
      <c r="E47" s="184" t="s">
        <v>436</v>
      </c>
      <c r="F47" s="184" t="s">
        <v>437</v>
      </c>
      <c r="G47" s="170">
        <v>4</v>
      </c>
      <c r="H47" s="170" t="s">
        <v>299</v>
      </c>
      <c r="I47" s="170" t="s">
        <v>474</v>
      </c>
      <c r="J47" s="170" t="s">
        <v>896</v>
      </c>
      <c r="K47" s="170"/>
      <c r="L47" s="171">
        <v>10</v>
      </c>
      <c r="M47" s="171">
        <v>1</v>
      </c>
      <c r="N47" s="172">
        <f t="shared" si="6"/>
        <v>10</v>
      </c>
      <c r="O47" s="173"/>
      <c r="P47" s="171"/>
      <c r="Q47" s="185"/>
      <c r="AL47" s="39"/>
      <c r="AM47" s="174"/>
    </row>
    <row r="48" spans="1:39" s="31" customFormat="1" ht="107.25" customHeight="1" x14ac:dyDescent="0.2">
      <c r="A48" s="191" t="s">
        <v>919</v>
      </c>
      <c r="B48" s="155" t="s">
        <v>231</v>
      </c>
      <c r="C48" s="151" t="s">
        <v>913</v>
      </c>
      <c r="D48" s="170" t="s">
        <v>914</v>
      </c>
      <c r="E48" s="170" t="s">
        <v>928</v>
      </c>
      <c r="F48" s="170" t="s">
        <v>307</v>
      </c>
      <c r="G48" s="170">
        <v>4</v>
      </c>
      <c r="H48" s="170" t="s">
        <v>916</v>
      </c>
      <c r="I48" s="170" t="s">
        <v>915</v>
      </c>
      <c r="J48" s="170" t="s">
        <v>917</v>
      </c>
      <c r="K48" s="170" t="s">
        <v>918</v>
      </c>
      <c r="L48" s="171">
        <v>10</v>
      </c>
      <c r="M48" s="171">
        <v>1</v>
      </c>
      <c r="N48" s="172">
        <f t="shared" si="6"/>
        <v>10</v>
      </c>
      <c r="O48" s="173"/>
      <c r="P48" s="171"/>
      <c r="Q48" s="185"/>
      <c r="AL48" s="39"/>
      <c r="AM48" s="174"/>
    </row>
    <row r="49" spans="1:39" s="31" customFormat="1" ht="243" x14ac:dyDescent="0.2">
      <c r="A49" s="191"/>
      <c r="B49" s="156" t="s">
        <v>235</v>
      </c>
      <c r="C49" s="273" t="s">
        <v>904</v>
      </c>
      <c r="D49" s="170" t="s">
        <v>905</v>
      </c>
      <c r="E49" s="184" t="s">
        <v>907</v>
      </c>
      <c r="F49" s="170" t="s">
        <v>906</v>
      </c>
      <c r="G49" s="170">
        <v>4</v>
      </c>
      <c r="H49" s="170" t="s">
        <v>378</v>
      </c>
      <c r="I49" s="170" t="s">
        <v>938</v>
      </c>
      <c r="J49" s="170" t="s">
        <v>908</v>
      </c>
      <c r="K49" s="170" t="s">
        <v>405</v>
      </c>
      <c r="L49" s="171">
        <v>10</v>
      </c>
      <c r="M49" s="171">
        <v>1</v>
      </c>
      <c r="N49" s="172">
        <f t="shared" si="6"/>
        <v>10</v>
      </c>
      <c r="O49" s="173"/>
      <c r="P49" s="171"/>
      <c r="Q49" s="185"/>
      <c r="AL49" s="39"/>
      <c r="AM49" s="174"/>
    </row>
    <row r="50" spans="1:39" s="31" customFormat="1" ht="162" x14ac:dyDescent="0.2">
      <c r="A50" s="191" t="s">
        <v>636</v>
      </c>
      <c r="B50" s="156" t="s">
        <v>235</v>
      </c>
      <c r="C50" s="151" t="s">
        <v>236</v>
      </c>
      <c r="D50" s="170" t="s">
        <v>886</v>
      </c>
      <c r="E50" s="170" t="s">
        <v>414</v>
      </c>
      <c r="F50" s="170" t="s">
        <v>906</v>
      </c>
      <c r="G50" s="170">
        <v>4</v>
      </c>
      <c r="H50" s="170" t="s">
        <v>378</v>
      </c>
      <c r="I50" s="170" t="s">
        <v>944</v>
      </c>
      <c r="J50" s="170" t="s">
        <v>887</v>
      </c>
      <c r="K50" s="170" t="s">
        <v>405</v>
      </c>
      <c r="L50" s="171">
        <v>10</v>
      </c>
      <c r="M50" s="171">
        <v>1</v>
      </c>
      <c r="N50" s="172">
        <f t="shared" ref="N50" si="10">L50*M50</f>
        <v>10</v>
      </c>
      <c r="O50" s="173"/>
      <c r="P50" s="171"/>
      <c r="Q50" s="185"/>
      <c r="AL50" s="39"/>
      <c r="AM50" s="174"/>
    </row>
    <row r="51" spans="1:39" s="31" customFormat="1" ht="144.75" customHeight="1" x14ac:dyDescent="0.2">
      <c r="A51" s="191" t="s">
        <v>688</v>
      </c>
      <c r="B51" s="156" t="s">
        <v>235</v>
      </c>
      <c r="C51" s="151" t="s">
        <v>237</v>
      </c>
      <c r="D51" s="170" t="s">
        <v>877</v>
      </c>
      <c r="E51" s="170" t="s">
        <v>318</v>
      </c>
      <c r="F51" s="170" t="s">
        <v>307</v>
      </c>
      <c r="G51" s="170">
        <v>4</v>
      </c>
      <c r="H51" s="170" t="s">
        <v>299</v>
      </c>
      <c r="I51" s="170" t="s">
        <v>943</v>
      </c>
      <c r="J51" s="170" t="s">
        <v>932</v>
      </c>
      <c r="K51" s="170" t="s">
        <v>405</v>
      </c>
      <c r="L51" s="171">
        <v>10</v>
      </c>
      <c r="M51" s="171">
        <v>1</v>
      </c>
      <c r="N51" s="172">
        <f t="shared" si="6"/>
        <v>10</v>
      </c>
      <c r="O51" s="173"/>
      <c r="P51" s="171"/>
      <c r="Q51" s="185"/>
      <c r="AL51" s="39"/>
      <c r="AM51" s="174"/>
    </row>
    <row r="52" spans="1:39" s="31" customFormat="1" ht="94.5" x14ac:dyDescent="0.2">
      <c r="A52" s="191" t="s">
        <v>638</v>
      </c>
      <c r="B52" s="156" t="s">
        <v>235</v>
      </c>
      <c r="C52" s="151" t="s">
        <v>238</v>
      </c>
      <c r="D52" s="170" t="s">
        <v>880</v>
      </c>
      <c r="E52" s="170" t="s">
        <v>480</v>
      </c>
      <c r="F52" s="170" t="s">
        <v>884</v>
      </c>
      <c r="G52" s="170">
        <v>4</v>
      </c>
      <c r="H52" s="170" t="s">
        <v>324</v>
      </c>
      <c r="I52" s="170" t="s">
        <v>477</v>
      </c>
      <c r="J52" s="170" t="s">
        <v>894</v>
      </c>
      <c r="K52" s="170"/>
      <c r="L52" s="171">
        <v>10</v>
      </c>
      <c r="M52" s="171">
        <v>1</v>
      </c>
      <c r="N52" s="172">
        <f t="shared" si="6"/>
        <v>10</v>
      </c>
      <c r="O52" s="173"/>
      <c r="P52" s="171"/>
      <c r="Q52" s="185"/>
      <c r="AL52" s="39"/>
      <c r="AM52" s="174"/>
    </row>
    <row r="53" spans="1:39" s="31" customFormat="1" ht="145.5" customHeight="1" x14ac:dyDescent="0.2">
      <c r="A53" s="191" t="s">
        <v>637</v>
      </c>
      <c r="B53" s="156" t="s">
        <v>939</v>
      </c>
      <c r="C53" s="152" t="s">
        <v>225</v>
      </c>
      <c r="D53" s="170" t="s">
        <v>334</v>
      </c>
      <c r="E53" s="187" t="s">
        <v>438</v>
      </c>
      <c r="F53" s="188" t="s">
        <v>439</v>
      </c>
      <c r="G53" s="170">
        <v>3</v>
      </c>
      <c r="H53" s="170" t="s">
        <v>481</v>
      </c>
      <c r="I53" s="170" t="s">
        <v>415</v>
      </c>
      <c r="J53" s="170" t="s">
        <v>901</v>
      </c>
      <c r="K53" s="170" t="s">
        <v>397</v>
      </c>
      <c r="L53" s="171">
        <v>10</v>
      </c>
      <c r="M53" s="171">
        <v>1</v>
      </c>
      <c r="N53" s="172">
        <f t="shared" si="6"/>
        <v>10</v>
      </c>
      <c r="O53" s="173"/>
      <c r="P53" s="171"/>
      <c r="Q53" s="185"/>
      <c r="AL53" s="39"/>
      <c r="AM53" s="174"/>
    </row>
    <row r="54" spans="1:39" s="31" customFormat="1" ht="95.25" customHeight="1" x14ac:dyDescent="0.2">
      <c r="A54" s="191" t="s">
        <v>642</v>
      </c>
      <c r="B54" s="156" t="s">
        <v>939</v>
      </c>
      <c r="C54" s="151" t="s">
        <v>193</v>
      </c>
      <c r="D54" s="170" t="s">
        <v>880</v>
      </c>
      <c r="E54" s="170" t="s">
        <v>312</v>
      </c>
      <c r="F54" s="184" t="s">
        <v>311</v>
      </c>
      <c r="G54" s="170">
        <v>3</v>
      </c>
      <c r="H54" s="170" t="s">
        <v>299</v>
      </c>
      <c r="I54" s="170" t="s">
        <v>488</v>
      </c>
      <c r="J54" s="170" t="s">
        <v>903</v>
      </c>
      <c r="K54" s="170" t="s">
        <v>397</v>
      </c>
      <c r="L54" s="171">
        <v>10</v>
      </c>
      <c r="M54" s="171">
        <v>1</v>
      </c>
      <c r="N54" s="172">
        <f t="shared" si="6"/>
        <v>10</v>
      </c>
      <c r="O54" s="173"/>
      <c r="P54" s="171"/>
      <c r="Q54" s="185"/>
      <c r="AL54" s="39"/>
      <c r="AM54" s="174"/>
    </row>
    <row r="55" spans="1:39" s="31" customFormat="1" ht="196.5" customHeight="1" x14ac:dyDescent="0.2">
      <c r="A55" s="191" t="s">
        <v>642</v>
      </c>
      <c r="B55" s="156" t="s">
        <v>939</v>
      </c>
      <c r="C55" s="151" t="s">
        <v>174</v>
      </c>
      <c r="D55" s="170" t="s">
        <v>301</v>
      </c>
      <c r="E55" s="184" t="s">
        <v>440</v>
      </c>
      <c r="F55" s="184" t="s">
        <v>441</v>
      </c>
      <c r="G55" s="170">
        <v>3</v>
      </c>
      <c r="H55" s="170" t="s">
        <v>299</v>
      </c>
      <c r="I55" s="170" t="s">
        <v>474</v>
      </c>
      <c r="J55" s="170" t="s">
        <v>896</v>
      </c>
      <c r="K55" s="170" t="s">
        <v>245</v>
      </c>
      <c r="L55" s="171">
        <v>10</v>
      </c>
      <c r="M55" s="171">
        <v>1</v>
      </c>
      <c r="N55" s="172">
        <f t="shared" si="6"/>
        <v>10</v>
      </c>
      <c r="O55" s="173"/>
      <c r="P55" s="171"/>
      <c r="Q55" s="185"/>
      <c r="AL55" s="39"/>
      <c r="AM55" s="174"/>
    </row>
    <row r="56" spans="1:39" s="31" customFormat="1" ht="351" x14ac:dyDescent="0.2">
      <c r="A56" s="191"/>
      <c r="B56" s="156" t="s">
        <v>939</v>
      </c>
      <c r="C56" s="151" t="s">
        <v>924</v>
      </c>
      <c r="D56" s="170" t="s">
        <v>914</v>
      </c>
      <c r="E56" s="184" t="s">
        <v>930</v>
      </c>
      <c r="F56" s="170" t="s">
        <v>307</v>
      </c>
      <c r="G56" s="170">
        <v>4</v>
      </c>
      <c r="H56" s="170" t="s">
        <v>925</v>
      </c>
      <c r="I56" s="170" t="s">
        <v>940</v>
      </c>
      <c r="J56" s="170" t="s">
        <v>926</v>
      </c>
      <c r="K56" s="170" t="s">
        <v>918</v>
      </c>
      <c r="L56" s="171">
        <v>10</v>
      </c>
      <c r="M56" s="171">
        <v>1</v>
      </c>
      <c r="N56" s="172">
        <f t="shared" si="6"/>
        <v>10</v>
      </c>
      <c r="O56" s="173"/>
      <c r="P56" s="171"/>
      <c r="Q56" s="185"/>
      <c r="AL56" s="39"/>
      <c r="AM56" s="174"/>
    </row>
    <row r="57" spans="1:39" s="31" customFormat="1" ht="107.25" customHeight="1" x14ac:dyDescent="0.2">
      <c r="A57" s="191" t="s">
        <v>919</v>
      </c>
      <c r="B57" s="155" t="s">
        <v>939</v>
      </c>
      <c r="C57" s="151" t="s">
        <v>913</v>
      </c>
      <c r="D57" s="170" t="s">
        <v>914</v>
      </c>
      <c r="E57" s="170" t="s">
        <v>928</v>
      </c>
      <c r="F57" s="170" t="s">
        <v>307</v>
      </c>
      <c r="G57" s="170">
        <v>4</v>
      </c>
      <c r="H57" s="170" t="s">
        <v>916</v>
      </c>
      <c r="I57" s="170" t="s">
        <v>915</v>
      </c>
      <c r="J57" s="170" t="s">
        <v>917</v>
      </c>
      <c r="K57" s="170" t="s">
        <v>918</v>
      </c>
      <c r="L57" s="171">
        <v>10</v>
      </c>
      <c r="M57" s="171">
        <v>1</v>
      </c>
      <c r="N57" s="172">
        <f t="shared" ref="N57" si="11">L57*M57</f>
        <v>10</v>
      </c>
      <c r="O57" s="173"/>
      <c r="P57" s="171"/>
      <c r="Q57" s="185"/>
      <c r="AL57" s="39"/>
      <c r="AM57" s="174"/>
    </row>
    <row r="58" spans="1:39" s="51" customFormat="1" ht="16.5" customHeight="1" x14ac:dyDescent="0.2">
      <c r="A58" s="192"/>
      <c r="B58" s="175"/>
      <c r="C58" s="175"/>
      <c r="D58" s="175"/>
      <c r="E58" s="175"/>
      <c r="F58" s="175"/>
      <c r="G58" s="175"/>
      <c r="H58" s="175"/>
      <c r="I58" s="150"/>
      <c r="J58" s="175"/>
      <c r="K58" s="175"/>
      <c r="L58" s="176"/>
      <c r="M58" s="176"/>
      <c r="N58" s="176"/>
      <c r="O58" s="175"/>
      <c r="P58" s="176"/>
      <c r="Q58" s="175"/>
    </row>
    <row r="59" spans="1:39" s="51" customFormat="1" ht="16.5" customHeight="1" x14ac:dyDescent="0.2">
      <c r="A59" s="192"/>
      <c r="B59" s="175"/>
      <c r="C59" s="175"/>
      <c r="D59" s="175"/>
      <c r="E59" s="175"/>
      <c r="F59" s="175"/>
      <c r="G59" s="175"/>
      <c r="H59" s="175"/>
      <c r="I59" s="150"/>
      <c r="J59" s="175"/>
      <c r="K59" s="175"/>
      <c r="L59" s="176"/>
      <c r="M59" s="176"/>
      <c r="N59" s="176"/>
      <c r="O59" s="175"/>
      <c r="P59" s="176"/>
      <c r="Q59" s="175"/>
    </row>
    <row r="60" spans="1:39" s="51" customFormat="1" ht="16.5" customHeight="1" x14ac:dyDescent="0.2">
      <c r="A60" s="192"/>
      <c r="B60" s="175"/>
      <c r="C60" s="175"/>
      <c r="D60" s="175"/>
      <c r="E60" s="175"/>
      <c r="F60" s="175"/>
      <c r="G60" s="175"/>
      <c r="H60" s="175"/>
      <c r="I60" s="150"/>
      <c r="J60" s="175"/>
      <c r="K60" s="175"/>
      <c r="L60" s="176"/>
      <c r="M60" s="176"/>
      <c r="N60" s="176"/>
      <c r="O60" s="175"/>
      <c r="P60" s="176"/>
      <c r="Q60" s="175"/>
    </row>
    <row r="61" spans="1:39" s="51" customFormat="1" ht="16.5" customHeight="1" x14ac:dyDescent="0.2">
      <c r="A61" s="192"/>
      <c r="B61" s="175"/>
      <c r="C61" s="175"/>
      <c r="D61" s="175"/>
      <c r="E61" s="175"/>
      <c r="F61" s="175"/>
      <c r="G61" s="175"/>
      <c r="H61" s="175"/>
      <c r="I61" s="150"/>
      <c r="J61" s="175"/>
      <c r="K61" s="175"/>
      <c r="L61" s="176"/>
      <c r="M61" s="176"/>
      <c r="N61" s="176"/>
      <c r="O61" s="175"/>
      <c r="P61" s="176"/>
      <c r="Q61" s="175"/>
    </row>
    <row r="62" spans="1:39" s="51" customFormat="1" ht="16.5" customHeight="1" x14ac:dyDescent="0.2">
      <c r="A62" s="192"/>
      <c r="B62" s="175"/>
      <c r="C62" s="175"/>
      <c r="D62" s="175"/>
      <c r="E62" s="175"/>
      <c r="F62" s="175"/>
      <c r="G62" s="175"/>
      <c r="H62" s="175"/>
      <c r="I62" s="150"/>
      <c r="J62" s="175"/>
      <c r="K62" s="175"/>
      <c r="L62" s="176"/>
      <c r="M62" s="176"/>
      <c r="N62" s="176"/>
      <c r="O62" s="175"/>
      <c r="P62" s="176"/>
      <c r="Q62" s="175"/>
    </row>
    <row r="63" spans="1:39" s="51" customFormat="1" ht="16.5" customHeight="1" x14ac:dyDescent="0.2">
      <c r="A63" s="192"/>
      <c r="B63" s="175"/>
      <c r="C63" s="175"/>
      <c r="D63" s="175"/>
      <c r="E63" s="175"/>
      <c r="F63" s="175"/>
      <c r="G63" s="175"/>
      <c r="H63" s="175"/>
      <c r="I63" s="150"/>
      <c r="J63" s="175"/>
      <c r="K63" s="175"/>
      <c r="L63" s="176"/>
      <c r="M63" s="176"/>
      <c r="N63" s="176"/>
      <c r="O63" s="175"/>
      <c r="P63" s="176"/>
      <c r="Q63" s="175"/>
    </row>
    <row r="64" spans="1:39" s="51" customFormat="1" ht="16.5" customHeight="1" x14ac:dyDescent="0.2">
      <c r="A64" s="192"/>
      <c r="B64" s="175"/>
      <c r="C64" s="175"/>
      <c r="D64" s="175"/>
      <c r="E64" s="175"/>
      <c r="F64" s="175"/>
      <c r="G64" s="175"/>
      <c r="H64" s="175"/>
      <c r="I64" s="150"/>
      <c r="J64" s="175"/>
      <c r="K64" s="175"/>
      <c r="L64" s="176"/>
      <c r="M64" s="176"/>
      <c r="N64" s="176"/>
      <c r="O64" s="175"/>
      <c r="P64" s="176"/>
      <c r="Q64" s="175"/>
    </row>
    <row r="65" spans="1:17" s="51" customFormat="1" ht="16.5" customHeight="1" x14ac:dyDescent="0.2">
      <c r="A65" s="192"/>
      <c r="B65" s="175"/>
      <c r="C65" s="175"/>
      <c r="D65" s="175"/>
      <c r="E65" s="175"/>
      <c r="F65" s="175"/>
      <c r="G65" s="175"/>
      <c r="H65" s="175"/>
      <c r="I65" s="150"/>
      <c r="J65" s="175"/>
      <c r="K65" s="175"/>
      <c r="L65" s="176"/>
      <c r="M65" s="176"/>
      <c r="N65" s="176"/>
      <c r="O65" s="175"/>
      <c r="P65" s="176"/>
      <c r="Q65" s="175"/>
    </row>
    <row r="66" spans="1:17" s="51" customFormat="1" ht="16.5" customHeight="1" x14ac:dyDescent="0.2">
      <c r="A66" s="192"/>
      <c r="B66" s="175"/>
      <c r="C66" s="175"/>
      <c r="D66" s="175"/>
      <c r="E66" s="175"/>
      <c r="F66" s="175"/>
      <c r="G66" s="175"/>
      <c r="H66" s="175"/>
      <c r="I66" s="150"/>
      <c r="J66" s="175"/>
      <c r="K66" s="175"/>
      <c r="L66" s="176"/>
      <c r="M66" s="176"/>
      <c r="N66" s="176"/>
      <c r="O66" s="175"/>
      <c r="P66" s="176"/>
      <c r="Q66" s="175"/>
    </row>
    <row r="67" spans="1:17" s="51" customFormat="1" ht="16.5" customHeight="1" x14ac:dyDescent="0.2">
      <c r="A67" s="192"/>
      <c r="B67" s="175"/>
      <c r="C67" s="175"/>
      <c r="D67" s="175"/>
      <c r="E67" s="175"/>
      <c r="F67" s="175"/>
      <c r="G67" s="175"/>
      <c r="H67" s="175"/>
      <c r="I67" s="150"/>
      <c r="J67" s="175"/>
      <c r="K67" s="175"/>
      <c r="L67" s="176"/>
      <c r="M67" s="176"/>
      <c r="N67" s="176"/>
      <c r="O67" s="175"/>
      <c r="P67" s="176"/>
      <c r="Q67" s="175"/>
    </row>
    <row r="68" spans="1:17" s="51" customFormat="1" ht="16.5" customHeight="1" x14ac:dyDescent="0.2">
      <c r="A68" s="192"/>
      <c r="B68" s="175"/>
      <c r="C68" s="175"/>
      <c r="D68" s="175"/>
      <c r="E68" s="175"/>
      <c r="F68" s="175"/>
      <c r="G68" s="175"/>
      <c r="H68" s="175"/>
      <c r="I68" s="150"/>
      <c r="J68" s="175"/>
      <c r="K68" s="175"/>
      <c r="L68" s="176"/>
      <c r="M68" s="176"/>
      <c r="N68" s="176"/>
      <c r="O68" s="175"/>
      <c r="P68" s="176"/>
      <c r="Q68" s="175"/>
    </row>
    <row r="69" spans="1:17" s="51" customFormat="1" ht="16.5" customHeight="1" x14ac:dyDescent="0.2">
      <c r="A69" s="192"/>
      <c r="B69" s="175"/>
      <c r="C69" s="175"/>
      <c r="D69" s="175"/>
      <c r="E69" s="175"/>
      <c r="F69" s="175"/>
      <c r="G69" s="175"/>
      <c r="H69" s="175"/>
      <c r="I69" s="150"/>
      <c r="J69" s="175"/>
      <c r="K69" s="175"/>
      <c r="L69" s="176"/>
      <c r="M69" s="176"/>
      <c r="N69" s="176"/>
      <c r="O69" s="175"/>
      <c r="P69" s="176"/>
      <c r="Q69" s="175"/>
    </row>
    <row r="70" spans="1:17" s="51" customFormat="1" ht="16.5" customHeight="1" x14ac:dyDescent="0.2">
      <c r="A70" s="192"/>
      <c r="B70" s="175"/>
      <c r="C70" s="175"/>
      <c r="D70" s="175"/>
      <c r="E70" s="175"/>
      <c r="F70" s="175"/>
      <c r="G70" s="175"/>
      <c r="H70" s="175"/>
      <c r="I70" s="150"/>
      <c r="J70" s="175"/>
      <c r="K70" s="175"/>
      <c r="L70" s="176"/>
      <c r="M70" s="176"/>
      <c r="N70" s="176" t="s">
        <v>30</v>
      </c>
      <c r="O70" s="175"/>
      <c r="P70" s="176"/>
      <c r="Q70" s="175"/>
    </row>
    <row r="71" spans="1:17" s="51" customFormat="1" ht="16.5" customHeight="1" x14ac:dyDescent="0.2">
      <c r="A71" s="192"/>
      <c r="B71" s="175"/>
      <c r="C71" s="175"/>
      <c r="D71" s="175"/>
      <c r="E71" s="175"/>
      <c r="F71" s="175"/>
      <c r="G71" s="175"/>
      <c r="H71" s="175"/>
      <c r="I71" s="150"/>
      <c r="J71" s="175"/>
      <c r="K71" s="175"/>
      <c r="L71" s="176"/>
      <c r="M71" s="176"/>
      <c r="N71" s="176"/>
      <c r="O71" s="175"/>
      <c r="P71" s="176"/>
      <c r="Q71" s="175"/>
    </row>
    <row r="72" spans="1:17" s="51" customFormat="1" ht="16.5" customHeight="1" x14ac:dyDescent="0.2">
      <c r="A72" s="192"/>
      <c r="B72" s="175"/>
      <c r="C72" s="175"/>
      <c r="D72" s="175"/>
      <c r="E72" s="175"/>
      <c r="F72" s="175"/>
      <c r="G72" s="175"/>
      <c r="H72" s="175"/>
      <c r="I72" s="150"/>
      <c r="J72" s="175"/>
      <c r="K72" s="175"/>
      <c r="L72" s="176"/>
      <c r="M72" s="176"/>
      <c r="N72" s="176"/>
      <c r="O72" s="175"/>
      <c r="P72" s="176"/>
      <c r="Q72" s="175"/>
    </row>
    <row r="73" spans="1:17" s="51" customFormat="1" ht="16.5" customHeight="1" x14ac:dyDescent="0.2">
      <c r="A73" s="192"/>
      <c r="B73" s="175"/>
      <c r="C73" s="175"/>
      <c r="D73" s="175"/>
      <c r="E73" s="175"/>
      <c r="F73" s="175"/>
      <c r="G73" s="175"/>
      <c r="H73" s="175"/>
      <c r="I73" s="150"/>
      <c r="J73" s="175"/>
      <c r="K73" s="175"/>
      <c r="L73" s="176"/>
      <c r="M73" s="176"/>
      <c r="N73" s="176"/>
      <c r="O73" s="175"/>
      <c r="P73" s="176"/>
      <c r="Q73" s="175"/>
    </row>
    <row r="74" spans="1:17" s="51" customFormat="1" ht="16.5" customHeight="1" x14ac:dyDescent="0.2">
      <c r="A74" s="192"/>
      <c r="B74" s="175"/>
      <c r="C74" s="175"/>
      <c r="D74" s="175"/>
      <c r="E74" s="175"/>
      <c r="F74" s="175"/>
      <c r="G74" s="175"/>
      <c r="H74" s="175"/>
      <c r="I74" s="150"/>
      <c r="J74" s="175"/>
      <c r="K74" s="175"/>
      <c r="L74" s="176"/>
      <c r="M74" s="176"/>
      <c r="N74" s="176"/>
      <c r="O74" s="175"/>
      <c r="P74" s="176"/>
      <c r="Q74" s="175"/>
    </row>
    <row r="75" spans="1:17" s="51" customFormat="1" ht="16.5" customHeight="1" x14ac:dyDescent="0.2">
      <c r="A75" s="192"/>
      <c r="B75" s="175"/>
      <c r="C75" s="175"/>
      <c r="D75" s="175"/>
      <c r="E75" s="175"/>
      <c r="F75" s="175"/>
      <c r="G75" s="175"/>
      <c r="H75" s="175"/>
      <c r="I75" s="150"/>
      <c r="J75" s="175"/>
      <c r="K75" s="175"/>
      <c r="L75" s="176"/>
      <c r="M75" s="176"/>
      <c r="N75" s="176"/>
      <c r="O75" s="175"/>
      <c r="P75" s="176"/>
      <c r="Q75" s="175"/>
    </row>
    <row r="76" spans="1:17" s="51" customFormat="1" ht="16.5" customHeight="1" x14ac:dyDescent="0.2">
      <c r="A76" s="192"/>
      <c r="B76" s="175"/>
      <c r="C76" s="175"/>
      <c r="D76" s="175"/>
      <c r="E76" s="175"/>
      <c r="F76" s="175"/>
      <c r="G76" s="175"/>
      <c r="H76" s="175"/>
      <c r="I76" s="150"/>
      <c r="J76" s="175"/>
      <c r="K76" s="175"/>
      <c r="L76" s="176"/>
      <c r="M76" s="176"/>
      <c r="N76" s="176"/>
      <c r="O76" s="175"/>
      <c r="P76" s="176"/>
      <c r="Q76" s="175"/>
    </row>
    <row r="77" spans="1:17" s="51" customFormat="1" ht="16.5" customHeight="1" x14ac:dyDescent="0.2">
      <c r="A77" s="192"/>
      <c r="B77" s="175"/>
      <c r="C77" s="175"/>
      <c r="D77" s="175"/>
      <c r="E77" s="175"/>
      <c r="F77" s="175"/>
      <c r="G77" s="175"/>
      <c r="H77" s="175"/>
      <c r="I77" s="150"/>
      <c r="J77" s="175"/>
      <c r="K77" s="175"/>
      <c r="L77" s="176"/>
      <c r="M77" s="176"/>
      <c r="N77" s="176"/>
      <c r="O77" s="175"/>
      <c r="P77" s="176"/>
      <c r="Q77" s="175"/>
    </row>
    <row r="78" spans="1:17" s="51" customFormat="1" ht="16.5" customHeight="1" x14ac:dyDescent="0.2">
      <c r="A78" s="192"/>
      <c r="B78" s="175"/>
      <c r="C78" s="175"/>
      <c r="D78" s="175"/>
      <c r="E78" s="175"/>
      <c r="F78" s="175"/>
      <c r="G78" s="175"/>
      <c r="H78" s="175"/>
      <c r="I78" s="150"/>
      <c r="J78" s="175"/>
      <c r="K78" s="175"/>
      <c r="L78" s="176"/>
      <c r="M78" s="176"/>
      <c r="N78" s="176"/>
      <c r="O78" s="175"/>
      <c r="P78" s="176"/>
      <c r="Q78" s="175"/>
    </row>
    <row r="79" spans="1:17" s="51" customFormat="1" ht="16.5" customHeight="1" x14ac:dyDescent="0.2">
      <c r="A79" s="192"/>
      <c r="B79" s="175"/>
      <c r="C79" s="175"/>
      <c r="D79" s="175"/>
      <c r="E79" s="175"/>
      <c r="F79" s="175"/>
      <c r="G79" s="175"/>
      <c r="H79" s="175"/>
      <c r="I79" s="150"/>
      <c r="J79" s="175"/>
      <c r="K79" s="175"/>
      <c r="L79" s="176"/>
      <c r="M79" s="176"/>
      <c r="N79" s="176"/>
      <c r="O79" s="175"/>
      <c r="P79" s="176"/>
      <c r="Q79" s="175"/>
    </row>
    <row r="80" spans="1:17" s="51" customFormat="1" ht="16.5" customHeight="1" x14ac:dyDescent="0.2">
      <c r="A80" s="192"/>
      <c r="B80" s="175"/>
      <c r="C80" s="175"/>
      <c r="D80" s="175"/>
      <c r="E80" s="175"/>
      <c r="F80" s="175"/>
      <c r="G80" s="175"/>
      <c r="H80" s="175"/>
      <c r="I80" s="150"/>
      <c r="J80" s="175"/>
      <c r="K80" s="175"/>
      <c r="L80" s="176"/>
      <c r="M80" s="176"/>
      <c r="N80" s="176"/>
      <c r="O80" s="175"/>
      <c r="P80" s="176"/>
      <c r="Q80" s="175"/>
    </row>
    <row r="81" spans="1:17" s="51" customFormat="1" ht="16.5" customHeight="1" x14ac:dyDescent="0.2">
      <c r="A81" s="192"/>
      <c r="B81" s="175"/>
      <c r="C81" s="175"/>
      <c r="D81" s="175"/>
      <c r="E81" s="175"/>
      <c r="F81" s="175"/>
      <c r="G81" s="175"/>
      <c r="H81" s="175"/>
      <c r="I81" s="150"/>
      <c r="J81" s="175"/>
      <c r="K81" s="175"/>
      <c r="L81" s="176"/>
      <c r="M81" s="176"/>
      <c r="N81" s="176"/>
      <c r="O81" s="175"/>
      <c r="P81" s="176"/>
      <c r="Q81" s="175"/>
    </row>
    <row r="82" spans="1:17" s="51" customFormat="1" ht="16.5" customHeight="1" x14ac:dyDescent="0.2">
      <c r="A82" s="192"/>
      <c r="B82" s="175"/>
      <c r="C82" s="175"/>
      <c r="D82" s="175"/>
      <c r="E82" s="175"/>
      <c r="F82" s="175"/>
      <c r="G82" s="175"/>
      <c r="H82" s="175"/>
      <c r="I82" s="150"/>
      <c r="J82" s="175"/>
      <c r="K82" s="175"/>
      <c r="L82" s="176"/>
      <c r="M82" s="176"/>
      <c r="N82" s="176"/>
      <c r="O82" s="175"/>
      <c r="P82" s="176"/>
      <c r="Q82" s="175"/>
    </row>
    <row r="83" spans="1:17" ht="16.5" customHeight="1" x14ac:dyDescent="0.2"/>
    <row r="84" spans="1:17" ht="16.5" customHeight="1" x14ac:dyDescent="0.2"/>
    <row r="85" spans="1:17" ht="16.5" customHeight="1" x14ac:dyDescent="0.2"/>
    <row r="86" spans="1:17" ht="16.5" customHeight="1" x14ac:dyDescent="0.2"/>
    <row r="87" spans="1:17" ht="16.5" customHeight="1" x14ac:dyDescent="0.2"/>
    <row r="88" spans="1:17" ht="16.5" customHeight="1" x14ac:dyDescent="0.2"/>
    <row r="89" spans="1:17" ht="16.5" customHeight="1" x14ac:dyDescent="0.2"/>
    <row r="90" spans="1:17" ht="16.5" customHeight="1" x14ac:dyDescent="0.2"/>
    <row r="91" spans="1:17" ht="16.5" customHeight="1" x14ac:dyDescent="0.2"/>
    <row r="92" spans="1:17" ht="16.5" customHeight="1" x14ac:dyDescent="0.2"/>
    <row r="93" spans="1:17" ht="16.5" customHeight="1" x14ac:dyDescent="0.2"/>
    <row r="94" spans="1:17" ht="16.5" customHeight="1" x14ac:dyDescent="0.2"/>
    <row r="95" spans="1:17" ht="16.5" customHeight="1" x14ac:dyDescent="0.2"/>
    <row r="96" spans="1:17" ht="16.5" customHeight="1" x14ac:dyDescent="0.2"/>
    <row r="97" spans="1:30" ht="16.5" customHeight="1" x14ac:dyDescent="0.2"/>
    <row r="98" spans="1:30" ht="16.5" customHeight="1" x14ac:dyDescent="0.2"/>
    <row r="99" spans="1:30" ht="16.5" customHeight="1" x14ac:dyDescent="0.2"/>
    <row r="101" spans="1:30" s="16" customFormat="1" x14ac:dyDescent="0.2">
      <c r="A101" s="192"/>
      <c r="B101" s="153"/>
      <c r="C101" s="153"/>
      <c r="D101" s="153"/>
      <c r="E101" s="153"/>
      <c r="F101" s="153"/>
      <c r="G101" s="153"/>
      <c r="H101" s="153"/>
      <c r="I101" s="158"/>
      <c r="J101" s="153"/>
      <c r="K101" s="153"/>
      <c r="L101" s="159"/>
      <c r="M101" s="159"/>
      <c r="N101" s="159"/>
      <c r="O101" s="153"/>
      <c r="P101" s="159"/>
      <c r="Q101" s="153"/>
      <c r="W101" s="17"/>
      <c r="X101" s="17"/>
      <c r="Y101" s="17"/>
      <c r="Z101" s="17"/>
      <c r="AA101" s="17"/>
      <c r="AB101" s="17"/>
      <c r="AC101" s="17"/>
      <c r="AD101" s="17"/>
    </row>
    <row r="103" spans="1:30" x14ac:dyDescent="0.2">
      <c r="E103" s="160"/>
    </row>
    <row r="104" spans="1:30" x14ac:dyDescent="0.2">
      <c r="E104" s="160"/>
    </row>
    <row r="105" spans="1:30" x14ac:dyDescent="0.2">
      <c r="E105" s="160"/>
    </row>
    <row r="106" spans="1:30" x14ac:dyDescent="0.2">
      <c r="E106" s="160"/>
    </row>
    <row r="107" spans="1:30" x14ac:dyDescent="0.2">
      <c r="E107" s="160"/>
    </row>
    <row r="110" spans="1:30" x14ac:dyDescent="0.2">
      <c r="M110" s="153"/>
      <c r="N110" s="153"/>
    </row>
    <row r="111" spans="1:30" x14ac:dyDescent="0.2">
      <c r="L111" s="153"/>
      <c r="M111" s="153"/>
      <c r="N111" s="153"/>
    </row>
    <row r="112" spans="1:30" x14ac:dyDescent="0.2">
      <c r="N112" s="153"/>
    </row>
    <row r="113" spans="14:14" x14ac:dyDescent="0.2">
      <c r="N113" s="153"/>
    </row>
    <row r="114" spans="14:14" x14ac:dyDescent="0.2">
      <c r="N114" s="153"/>
    </row>
    <row r="115" spans="14:14" x14ac:dyDescent="0.2">
      <c r="N115" s="153"/>
    </row>
    <row r="116" spans="14:14" x14ac:dyDescent="0.2">
      <c r="N116" s="153"/>
    </row>
    <row r="117" spans="14:14" x14ac:dyDescent="0.2">
      <c r="N117" s="153"/>
    </row>
    <row r="118" spans="14:14" x14ac:dyDescent="0.2">
      <c r="N118" s="153"/>
    </row>
    <row r="119" spans="14:14" x14ac:dyDescent="0.2">
      <c r="N119" s="153"/>
    </row>
    <row r="120" spans="14:14" x14ac:dyDescent="0.2">
      <c r="N120" s="153"/>
    </row>
    <row r="121" spans="14:14" x14ac:dyDescent="0.2">
      <c r="N121" s="153"/>
    </row>
    <row r="122" spans="14:14" x14ac:dyDescent="0.2">
      <c r="N122" s="153"/>
    </row>
    <row r="123" spans="14:14" x14ac:dyDescent="0.2">
      <c r="N123" s="153"/>
    </row>
    <row r="124" spans="14:14" x14ac:dyDescent="0.2">
      <c r="N124" s="153"/>
    </row>
    <row r="150" spans="1:36" s="52" customFormat="1" x14ac:dyDescent="0.2">
      <c r="A150" s="193"/>
      <c r="B150" s="154"/>
      <c r="C150" s="154"/>
      <c r="D150" s="154"/>
      <c r="E150" s="154"/>
      <c r="F150" s="154"/>
      <c r="G150" s="154"/>
      <c r="H150" s="154"/>
      <c r="I150" s="161"/>
      <c r="J150" s="154"/>
      <c r="K150" s="154"/>
      <c r="L150" s="162"/>
      <c r="M150" s="162"/>
      <c r="N150" s="162"/>
      <c r="O150" s="154"/>
      <c r="P150" s="162"/>
      <c r="Q150" s="154"/>
      <c r="W150" s="137"/>
      <c r="X150" s="137"/>
      <c r="Y150" s="137"/>
      <c r="Z150" s="137"/>
      <c r="AA150" s="137"/>
      <c r="AB150" s="137"/>
      <c r="AC150" s="137"/>
      <c r="AD150" s="137"/>
    </row>
    <row r="151" spans="1:36" s="52" customFormat="1" ht="18" x14ac:dyDescent="0.2">
      <c r="A151" s="193"/>
      <c r="B151" s="154"/>
      <c r="C151" s="154"/>
      <c r="D151" s="154"/>
      <c r="E151" s="154"/>
      <c r="F151" s="154"/>
      <c r="G151" s="154"/>
      <c r="H151" s="154"/>
      <c r="I151" s="161"/>
      <c r="J151" s="154"/>
      <c r="K151" s="154"/>
      <c r="L151" s="162"/>
      <c r="M151" s="162"/>
      <c r="N151" s="162"/>
      <c r="O151" s="154"/>
      <c r="P151" s="162"/>
      <c r="Q151" s="154"/>
      <c r="W151" s="137"/>
      <c r="X151" s="137"/>
      <c r="Y151" s="137"/>
      <c r="Z151" s="137"/>
      <c r="AA151" s="137"/>
      <c r="AB151" s="137"/>
      <c r="AC151" s="137"/>
      <c r="AD151" s="137"/>
      <c r="AE151" s="54" t="s">
        <v>28</v>
      </c>
      <c r="AH151" s="53"/>
      <c r="AI151" s="53"/>
      <c r="AJ151" s="53"/>
    </row>
    <row r="152" spans="1:36" s="52" customFormat="1" x14ac:dyDescent="0.2">
      <c r="A152" s="193"/>
      <c r="B152" s="154"/>
      <c r="C152" s="154"/>
      <c r="D152" s="154"/>
      <c r="E152" s="154"/>
      <c r="F152" s="154"/>
      <c r="G152" s="154"/>
      <c r="H152" s="154"/>
      <c r="I152" s="161"/>
      <c r="J152" s="154"/>
      <c r="K152" s="154"/>
      <c r="L152" s="162"/>
      <c r="M152" s="162"/>
      <c r="N152" s="162"/>
      <c r="O152" s="154"/>
      <c r="P152" s="162"/>
      <c r="Q152" s="154"/>
      <c r="W152" s="137"/>
      <c r="X152" s="137"/>
      <c r="Y152" s="137"/>
      <c r="Z152" s="137"/>
      <c r="AA152" s="137"/>
      <c r="AB152" s="137"/>
      <c r="AC152" s="137"/>
      <c r="AD152" s="137"/>
      <c r="AH152" s="53"/>
      <c r="AI152" s="53"/>
      <c r="AJ152" s="53"/>
    </row>
    <row r="153" spans="1:36" s="52" customFormat="1" ht="15.75" x14ac:dyDescent="0.25">
      <c r="A153" s="193"/>
      <c r="B153" s="154"/>
      <c r="C153" s="154"/>
      <c r="D153" s="154"/>
      <c r="E153" s="154"/>
      <c r="F153" s="154"/>
      <c r="G153" s="154"/>
      <c r="H153" s="154"/>
      <c r="I153" s="161"/>
      <c r="J153" s="154"/>
      <c r="K153" s="154"/>
      <c r="L153" s="162"/>
      <c r="M153" s="162"/>
      <c r="N153" s="162"/>
      <c r="O153" s="154"/>
      <c r="P153" s="162"/>
      <c r="Q153" s="154"/>
      <c r="W153" s="137"/>
      <c r="X153" s="137"/>
      <c r="Y153" s="137"/>
      <c r="Z153" s="137"/>
      <c r="AA153" s="137"/>
      <c r="AB153" s="137"/>
      <c r="AC153" s="137"/>
      <c r="AD153" s="137"/>
      <c r="AE153" s="55" t="s">
        <v>27</v>
      </c>
      <c r="AF153" s="55" t="s">
        <v>26</v>
      </c>
      <c r="AG153" s="55" t="s">
        <v>45</v>
      </c>
      <c r="AH153" s="55" t="s">
        <v>47</v>
      </c>
      <c r="AI153" s="56"/>
      <c r="AJ153" s="53"/>
    </row>
    <row r="154" spans="1:36" s="52" customFormat="1" x14ac:dyDescent="0.2">
      <c r="A154" s="193"/>
      <c r="B154" s="154"/>
      <c r="C154" s="154"/>
      <c r="D154" s="154"/>
      <c r="E154" s="154"/>
      <c r="F154" s="154"/>
      <c r="G154" s="154"/>
      <c r="H154" s="154"/>
      <c r="I154" s="161"/>
      <c r="J154" s="154"/>
      <c r="K154" s="154"/>
      <c r="L154" s="162"/>
      <c r="M154" s="162"/>
      <c r="N154" s="162"/>
      <c r="O154" s="154"/>
      <c r="P154" s="162"/>
      <c r="Q154" s="154"/>
      <c r="W154" s="137"/>
      <c r="X154" s="137"/>
      <c r="Y154" s="137"/>
      <c r="Z154" s="137"/>
      <c r="AA154" s="137"/>
      <c r="AB154" s="137"/>
      <c r="AC154" s="137"/>
      <c r="AD154" s="137"/>
      <c r="AE154" s="57">
        <v>1000</v>
      </c>
      <c r="AF154" s="57">
        <v>10</v>
      </c>
      <c r="AG154" s="57">
        <v>1</v>
      </c>
      <c r="AH154" s="53"/>
      <c r="AI154" s="57" t="s">
        <v>48</v>
      </c>
      <c r="AJ154" s="53"/>
    </row>
    <row r="155" spans="1:36" s="52" customFormat="1" x14ac:dyDescent="0.2">
      <c r="A155" s="193"/>
      <c r="B155" s="154"/>
      <c r="C155" s="154"/>
      <c r="D155" s="154"/>
      <c r="E155" s="154"/>
      <c r="F155" s="154"/>
      <c r="G155" s="154"/>
      <c r="H155" s="154"/>
      <c r="I155" s="161"/>
      <c r="J155" s="154"/>
      <c r="K155" s="154"/>
      <c r="L155" s="162"/>
      <c r="M155" s="162"/>
      <c r="N155" s="162"/>
      <c r="O155" s="154"/>
      <c r="P155" s="162"/>
      <c r="Q155" s="154"/>
      <c r="W155" s="137"/>
      <c r="X155" s="137"/>
      <c r="Y155" s="137"/>
      <c r="Z155" s="137"/>
      <c r="AA155" s="137"/>
      <c r="AB155" s="137"/>
      <c r="AC155" s="137"/>
      <c r="AD155" s="137"/>
      <c r="AE155" s="57">
        <v>300</v>
      </c>
      <c r="AF155" s="57">
        <v>3</v>
      </c>
      <c r="AG155" s="57">
        <v>2</v>
      </c>
      <c r="AH155" s="53"/>
      <c r="AI155" s="57" t="s">
        <v>29</v>
      </c>
      <c r="AJ155" s="53"/>
    </row>
    <row r="156" spans="1:36" s="52" customFormat="1" x14ac:dyDescent="0.2">
      <c r="A156" s="193"/>
      <c r="B156" s="154"/>
      <c r="C156" s="154"/>
      <c r="D156" s="154"/>
      <c r="E156" s="154"/>
      <c r="F156" s="154"/>
      <c r="G156" s="154"/>
      <c r="H156" s="154"/>
      <c r="I156" s="161"/>
      <c r="J156" s="154"/>
      <c r="K156" s="154"/>
      <c r="L156" s="162"/>
      <c r="M156" s="162"/>
      <c r="N156" s="162"/>
      <c r="O156" s="154"/>
      <c r="P156" s="162"/>
      <c r="Q156" s="154"/>
      <c r="W156" s="137"/>
      <c r="X156" s="137"/>
      <c r="Y156" s="137"/>
      <c r="Z156" s="137"/>
      <c r="AA156" s="137"/>
      <c r="AB156" s="137"/>
      <c r="AC156" s="137"/>
      <c r="AD156" s="137"/>
      <c r="AE156" s="57">
        <v>100</v>
      </c>
      <c r="AF156" s="57">
        <v>1</v>
      </c>
      <c r="AG156" s="57">
        <v>3</v>
      </c>
      <c r="AH156" s="53"/>
      <c r="AI156" s="57"/>
      <c r="AJ156" s="53"/>
    </row>
    <row r="157" spans="1:36" s="52" customFormat="1" x14ac:dyDescent="0.2">
      <c r="A157" s="193"/>
      <c r="B157" s="154"/>
      <c r="C157" s="154"/>
      <c r="D157" s="154"/>
      <c r="E157" s="154"/>
      <c r="F157" s="154"/>
      <c r="G157" s="154"/>
      <c r="H157" s="154"/>
      <c r="I157" s="161"/>
      <c r="J157" s="154"/>
      <c r="K157" s="154"/>
      <c r="L157" s="162"/>
      <c r="M157" s="162"/>
      <c r="N157" s="162"/>
      <c r="O157" s="154"/>
      <c r="P157" s="162"/>
      <c r="Q157" s="154"/>
      <c r="W157" s="137"/>
      <c r="X157" s="137"/>
      <c r="Y157" s="137"/>
      <c r="Z157" s="137"/>
      <c r="AA157" s="137"/>
      <c r="AB157" s="137"/>
      <c r="AC157" s="137"/>
      <c r="AD157" s="137"/>
      <c r="AE157" s="57">
        <v>30</v>
      </c>
      <c r="AF157" s="57">
        <v>0.3</v>
      </c>
      <c r="AG157" s="57">
        <v>4</v>
      </c>
      <c r="AH157" s="53"/>
      <c r="AI157" s="56"/>
      <c r="AJ157" s="56"/>
    </row>
    <row r="158" spans="1:36" s="52" customFormat="1" x14ac:dyDescent="0.2">
      <c r="A158" s="193"/>
      <c r="B158" s="154"/>
      <c r="C158" s="154"/>
      <c r="D158" s="154"/>
      <c r="E158" s="154"/>
      <c r="F158" s="154"/>
      <c r="G158" s="154"/>
      <c r="H158" s="154"/>
      <c r="I158" s="161"/>
      <c r="J158" s="154"/>
      <c r="K158" s="154"/>
      <c r="L158" s="162"/>
      <c r="M158" s="162"/>
      <c r="N158" s="162"/>
      <c r="O158" s="154"/>
      <c r="P158" s="162"/>
      <c r="Q158" s="154"/>
      <c r="W158" s="137"/>
      <c r="X158" s="137"/>
      <c r="Y158" s="137"/>
      <c r="Z158" s="137"/>
      <c r="AA158" s="137"/>
      <c r="AB158" s="137"/>
      <c r="AC158" s="137"/>
      <c r="AD158" s="137"/>
      <c r="AE158" s="57">
        <v>10</v>
      </c>
      <c r="AF158" s="57">
        <v>0.1</v>
      </c>
      <c r="AG158" s="57">
        <v>5</v>
      </c>
      <c r="AH158" s="53"/>
      <c r="AI158" s="56"/>
      <c r="AJ158" s="56"/>
    </row>
    <row r="159" spans="1:36" s="52" customFormat="1" x14ac:dyDescent="0.2">
      <c r="A159" s="193"/>
      <c r="B159" s="154"/>
      <c r="C159" s="154"/>
      <c r="D159" s="154"/>
      <c r="E159" s="154"/>
      <c r="F159" s="154"/>
      <c r="G159" s="154"/>
      <c r="H159" s="154"/>
      <c r="I159" s="161"/>
      <c r="J159" s="154"/>
      <c r="K159" s="154"/>
      <c r="L159" s="162"/>
      <c r="M159" s="162"/>
      <c r="N159" s="162"/>
      <c r="O159" s="154"/>
      <c r="P159" s="162"/>
      <c r="Q159" s="154"/>
      <c r="W159" s="137"/>
      <c r="X159" s="137"/>
      <c r="Y159" s="137"/>
      <c r="Z159" s="137"/>
      <c r="AA159" s="137"/>
      <c r="AB159" s="137"/>
      <c r="AC159" s="137"/>
      <c r="AD159" s="137"/>
      <c r="AE159" s="58">
        <v>3</v>
      </c>
      <c r="AF159" s="58">
        <v>0.03</v>
      </c>
      <c r="AG159" s="58">
        <v>6</v>
      </c>
      <c r="AH159" s="53"/>
      <c r="AI159" s="56"/>
      <c r="AJ159" s="56"/>
    </row>
    <row r="160" spans="1:36" s="52" customFormat="1" x14ac:dyDescent="0.2">
      <c r="A160" s="193"/>
      <c r="B160" s="154"/>
      <c r="C160" s="154"/>
      <c r="D160" s="154"/>
      <c r="E160" s="154"/>
      <c r="F160" s="154"/>
      <c r="G160" s="154"/>
      <c r="H160" s="154"/>
      <c r="I160" s="161"/>
      <c r="J160" s="154"/>
      <c r="K160" s="154"/>
      <c r="L160" s="162"/>
      <c r="M160" s="162"/>
      <c r="N160" s="162"/>
      <c r="O160" s="154"/>
      <c r="P160" s="162"/>
      <c r="Q160" s="154"/>
      <c r="W160" s="137"/>
      <c r="X160" s="137"/>
      <c r="Y160" s="137"/>
      <c r="Z160" s="137"/>
      <c r="AA160" s="137"/>
      <c r="AB160" s="137"/>
      <c r="AC160" s="137"/>
      <c r="AD160" s="137"/>
      <c r="AE160" s="57">
        <v>1</v>
      </c>
      <c r="AF160" s="57"/>
      <c r="AG160" s="57">
        <v>7</v>
      </c>
      <c r="AH160" s="53"/>
      <c r="AI160" s="56"/>
      <c r="AJ160" s="56"/>
    </row>
    <row r="161" spans="1:36" s="52" customFormat="1" x14ac:dyDescent="0.2">
      <c r="A161" s="193"/>
      <c r="B161" s="154"/>
      <c r="C161" s="154"/>
      <c r="D161" s="154"/>
      <c r="E161" s="154"/>
      <c r="F161" s="154"/>
      <c r="G161" s="154"/>
      <c r="H161" s="154"/>
      <c r="I161" s="161"/>
      <c r="J161" s="154"/>
      <c r="K161" s="154"/>
      <c r="L161" s="162"/>
      <c r="M161" s="162"/>
      <c r="N161" s="162"/>
      <c r="O161" s="154"/>
      <c r="P161" s="162"/>
      <c r="Q161" s="154"/>
      <c r="W161" s="137"/>
      <c r="X161" s="137"/>
      <c r="Y161" s="137"/>
      <c r="Z161" s="137"/>
      <c r="AA161" s="137"/>
      <c r="AB161" s="137"/>
      <c r="AC161" s="137"/>
      <c r="AD161" s="137"/>
      <c r="AE161" s="57"/>
      <c r="AF161" s="59"/>
      <c r="AG161" s="57"/>
      <c r="AH161" s="53"/>
      <c r="AI161" s="56"/>
      <c r="AJ161" s="56"/>
    </row>
    <row r="162" spans="1:36" s="52" customFormat="1" x14ac:dyDescent="0.2">
      <c r="A162" s="193"/>
      <c r="B162" s="154"/>
      <c r="C162" s="154"/>
      <c r="D162" s="154"/>
      <c r="E162" s="154"/>
      <c r="F162" s="154"/>
      <c r="G162" s="154"/>
      <c r="H162" s="154"/>
      <c r="I162" s="161"/>
      <c r="J162" s="154"/>
      <c r="K162" s="154"/>
      <c r="L162" s="162"/>
      <c r="M162" s="162"/>
      <c r="N162" s="162"/>
      <c r="O162" s="154"/>
      <c r="P162" s="162"/>
      <c r="Q162" s="154"/>
      <c r="W162" s="137"/>
      <c r="X162" s="137"/>
      <c r="Y162" s="137"/>
      <c r="Z162" s="137"/>
      <c r="AA162" s="137"/>
      <c r="AB162" s="137"/>
      <c r="AC162" s="137"/>
      <c r="AD162" s="137"/>
      <c r="AH162" s="53"/>
      <c r="AI162" s="53"/>
      <c r="AJ162" s="53"/>
    </row>
    <row r="163" spans="1:36" x14ac:dyDescent="0.2">
      <c r="A163" s="193"/>
      <c r="B163" s="154"/>
      <c r="C163" s="154"/>
      <c r="D163" s="154"/>
      <c r="E163" s="154"/>
      <c r="F163" s="154"/>
      <c r="G163" s="154"/>
      <c r="H163" s="154"/>
      <c r="I163" s="161"/>
      <c r="J163" s="154"/>
      <c r="K163" s="154"/>
      <c r="L163" s="162"/>
      <c r="M163" s="162"/>
      <c r="N163" s="162"/>
      <c r="O163" s="154"/>
    </row>
  </sheetData>
  <sheetProtection selectLockedCells="1" selectUnlockedCells="1"/>
  <autoFilter ref="A1:A163"/>
  <mergeCells count="16">
    <mergeCell ref="A5:Q5"/>
    <mergeCell ref="A2:Q2"/>
    <mergeCell ref="I3:J3"/>
    <mergeCell ref="G3:G4"/>
    <mergeCell ref="H3:H4"/>
    <mergeCell ref="A3:A4"/>
    <mergeCell ref="B3:B4"/>
    <mergeCell ref="C3:C4"/>
    <mergeCell ref="L3:N3"/>
    <mergeCell ref="O3:O4"/>
    <mergeCell ref="P3:P4"/>
    <mergeCell ref="Q3:Q4"/>
    <mergeCell ref="D3:D4"/>
    <mergeCell ref="E3:E4"/>
    <mergeCell ref="F3:F4"/>
    <mergeCell ref="K3:K4"/>
  </mergeCells>
  <phoneticPr fontId="0" type="noConversion"/>
  <dataValidations count="3">
    <dataValidation type="list" showInputMessage="1" showErrorMessage="1" sqref="G1 G33:G57 G6:G31">
      <formula1>$AG$154:$AG$161</formula1>
    </dataValidation>
    <dataValidation type="list" showInputMessage="1" showErrorMessage="1" sqref="M1 M6:M57">
      <formula1>$AF$154:$AF$160</formula1>
    </dataValidation>
    <dataValidation type="list" showInputMessage="1" showErrorMessage="1" sqref="L1 L6:L57">
      <formula1>$AE$154:$AE$161</formula1>
    </dataValidation>
  </dataValidations>
  <pageMargins left="0.35433070866141736" right="0.27559055118110237" top="0.41333333333333333" bottom="0.62992125984251968" header="0.27559055118110237" footer="0.27559055118110237"/>
  <pageSetup paperSize="8" scale="53" fitToHeight="0" orientation="landscape" horizontalDpi="300" verticalDpi="300" copies="2" r:id="rId1"/>
  <headerFooter alignWithMargins="0">
    <oddHeader>&amp;L&amp;G&amp;CFRM-IHS-SAF-100
Refer to SPR-IHS-SAF-044 - WAIO Risk Management Procedure&amp;RBHP Billiton Iron Ore
&amp;"Arial,Bold"WAIO Health &amp; Safety</oddHeader>
    <oddFooter>&amp;L&amp;8Form No: FRM-IHS-SAF-100
Issue No: 14.0 
Issue Date: 03/07/2014&amp;R&amp;8Page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8"/>
    <pageSetUpPr fitToPage="1"/>
  </sheetPr>
  <dimension ref="A1:H23"/>
  <sheetViews>
    <sheetView view="pageLayout" zoomScaleNormal="100" workbookViewId="0">
      <selection activeCell="H11" sqref="H11"/>
    </sheetView>
  </sheetViews>
  <sheetFormatPr defaultColWidth="9.140625" defaultRowHeight="12.75" x14ac:dyDescent="0.2"/>
  <cols>
    <col min="1" max="1" width="9.140625" style="11"/>
    <col min="2" max="2" width="19.28515625" style="11" customWidth="1"/>
    <col min="3" max="3" width="65.5703125" style="11" customWidth="1"/>
    <col min="4" max="4" width="17.42578125" style="11" customWidth="1"/>
    <col min="5" max="6" width="14.85546875" style="11" customWidth="1"/>
    <col min="7" max="7" width="15" style="11" customWidth="1"/>
    <col min="8" max="8" width="35.5703125" style="11" customWidth="1"/>
    <col min="9" max="16384" width="9.140625" style="11"/>
  </cols>
  <sheetData>
    <row r="1" spans="1:8" ht="32.25" customHeight="1" thickBot="1" x14ac:dyDescent="0.3">
      <c r="A1" s="335" t="s">
        <v>64</v>
      </c>
      <c r="B1" s="336"/>
      <c r="C1" s="336"/>
      <c r="D1" s="337" t="str">
        <f>+'Cover Page'!D7</f>
        <v>Weeli Wolli Creek Newman Mainline 291km Bridge - Earthworks, Siteworks</v>
      </c>
      <c r="E1" s="337"/>
      <c r="F1" s="337"/>
      <c r="G1" s="337"/>
      <c r="H1" s="338"/>
    </row>
    <row r="2" spans="1:8" ht="39" thickBot="1" x14ac:dyDescent="0.25">
      <c r="A2" s="5" t="s">
        <v>29</v>
      </c>
      <c r="B2" s="6" t="s">
        <v>25</v>
      </c>
      <c r="C2" s="7" t="s">
        <v>6</v>
      </c>
      <c r="D2" s="6" t="s">
        <v>7</v>
      </c>
      <c r="E2" s="8" t="s">
        <v>8</v>
      </c>
      <c r="F2" s="8" t="s">
        <v>61</v>
      </c>
      <c r="G2" s="8" t="s">
        <v>51</v>
      </c>
      <c r="H2" s="8" t="s">
        <v>50</v>
      </c>
    </row>
    <row r="3" spans="1:8" ht="23.25" customHeight="1" x14ac:dyDescent="0.2">
      <c r="A3" s="4">
        <v>1</v>
      </c>
      <c r="B3" s="20"/>
      <c r="C3" s="22"/>
      <c r="D3" s="25"/>
      <c r="E3" s="26"/>
      <c r="F3" s="50"/>
      <c r="G3" s="15"/>
      <c r="H3" s="15"/>
    </row>
    <row r="4" spans="1:8" ht="23.25" customHeight="1" x14ac:dyDescent="0.2">
      <c r="A4" s="3">
        <v>2</v>
      </c>
      <c r="B4" s="21"/>
      <c r="C4" s="23"/>
      <c r="D4" s="12"/>
      <c r="E4" s="15"/>
      <c r="F4" s="15"/>
      <c r="G4" s="15"/>
      <c r="H4" s="15"/>
    </row>
    <row r="5" spans="1:8" ht="23.25" customHeight="1" x14ac:dyDescent="0.2">
      <c r="A5" s="3">
        <v>3</v>
      </c>
      <c r="B5" s="21"/>
      <c r="C5" s="23"/>
      <c r="D5" s="12"/>
      <c r="E5" s="15"/>
      <c r="F5" s="15"/>
      <c r="G5" s="15"/>
      <c r="H5" s="15"/>
    </row>
    <row r="6" spans="1:8" ht="23.25" customHeight="1" x14ac:dyDescent="0.2">
      <c r="A6" s="3">
        <v>4</v>
      </c>
      <c r="B6" s="21"/>
      <c r="C6" s="23"/>
      <c r="D6" s="12"/>
      <c r="E6" s="15"/>
      <c r="F6" s="15"/>
      <c r="G6" s="15"/>
      <c r="H6" s="15"/>
    </row>
    <row r="7" spans="1:8" ht="23.25" customHeight="1" x14ac:dyDescent="0.2">
      <c r="A7" s="3">
        <v>5</v>
      </c>
      <c r="B7" s="21"/>
      <c r="C7" s="23"/>
      <c r="D7" s="12"/>
      <c r="E7" s="15"/>
      <c r="F7" s="15"/>
      <c r="G7" s="15"/>
      <c r="H7" s="15"/>
    </row>
    <row r="8" spans="1:8" ht="23.25" customHeight="1" x14ac:dyDescent="0.2">
      <c r="A8" s="3">
        <v>6</v>
      </c>
      <c r="B8" s="21"/>
      <c r="C8" s="23"/>
      <c r="D8" s="12"/>
      <c r="E8" s="15"/>
      <c r="F8" s="15"/>
      <c r="G8" s="15"/>
      <c r="H8" s="15"/>
    </row>
    <row r="9" spans="1:8" ht="23.25" customHeight="1" x14ac:dyDescent="0.2">
      <c r="A9" s="3">
        <v>7</v>
      </c>
      <c r="B9" s="21"/>
      <c r="C9" s="23"/>
      <c r="D9" s="12"/>
      <c r="E9" s="15"/>
      <c r="F9" s="15"/>
      <c r="G9" s="15"/>
      <c r="H9" s="15"/>
    </row>
    <row r="10" spans="1:8" ht="23.25" customHeight="1" x14ac:dyDescent="0.2">
      <c r="A10" s="3">
        <v>8</v>
      </c>
      <c r="B10" s="21"/>
      <c r="C10" s="23"/>
      <c r="D10" s="12"/>
      <c r="E10" s="15"/>
      <c r="F10" s="15"/>
      <c r="G10" s="15"/>
      <c r="H10" s="15"/>
    </row>
    <row r="11" spans="1:8" ht="23.25" customHeight="1" x14ac:dyDescent="0.2">
      <c r="A11" s="3">
        <v>9</v>
      </c>
      <c r="B11" s="19"/>
      <c r="C11" s="23"/>
      <c r="D11" s="12"/>
      <c r="E11" s="15"/>
      <c r="F11" s="15"/>
      <c r="G11" s="15"/>
      <c r="H11" s="15"/>
    </row>
    <row r="12" spans="1:8" ht="23.25" customHeight="1" x14ac:dyDescent="0.2">
      <c r="A12" s="3">
        <v>10</v>
      </c>
      <c r="B12" s="19"/>
      <c r="C12" s="23"/>
      <c r="D12" s="23"/>
      <c r="E12" s="23"/>
      <c r="F12" s="23"/>
      <c r="G12" s="15"/>
      <c r="H12" s="15"/>
    </row>
    <row r="13" spans="1:8" ht="23.25" customHeight="1" x14ac:dyDescent="0.2">
      <c r="A13" s="3">
        <v>11</v>
      </c>
      <c r="B13" s="19"/>
      <c r="C13" s="23"/>
      <c r="D13" s="23"/>
      <c r="E13" s="23"/>
      <c r="F13" s="23"/>
      <c r="G13" s="15"/>
      <c r="H13" s="15"/>
    </row>
    <row r="14" spans="1:8" ht="23.25" customHeight="1" x14ac:dyDescent="0.2">
      <c r="A14" s="3">
        <v>12</v>
      </c>
      <c r="B14" s="19"/>
      <c r="C14" s="23"/>
      <c r="D14" s="23"/>
      <c r="E14" s="23"/>
      <c r="F14" s="23"/>
      <c r="G14" s="15"/>
      <c r="H14" s="15"/>
    </row>
    <row r="15" spans="1:8" ht="23.25" customHeight="1" x14ac:dyDescent="0.2">
      <c r="A15" s="3">
        <v>13</v>
      </c>
      <c r="B15" s="19"/>
      <c r="C15" s="23"/>
      <c r="D15" s="23"/>
      <c r="E15" s="23"/>
      <c r="F15" s="23"/>
      <c r="G15" s="15"/>
      <c r="H15" s="15"/>
    </row>
    <row r="16" spans="1:8" ht="23.25" customHeight="1" x14ac:dyDescent="0.2">
      <c r="A16" s="3">
        <v>14</v>
      </c>
      <c r="B16" s="19"/>
      <c r="C16" s="23"/>
      <c r="D16" s="23"/>
      <c r="E16" s="23"/>
      <c r="F16" s="23"/>
      <c r="G16" s="15"/>
      <c r="H16" s="15"/>
    </row>
    <row r="17" spans="1:8" ht="23.25" customHeight="1" x14ac:dyDescent="0.2">
      <c r="A17" s="3">
        <v>15</v>
      </c>
      <c r="B17" s="19"/>
      <c r="C17" s="23"/>
      <c r="D17" s="23"/>
      <c r="E17" s="23"/>
      <c r="F17" s="23"/>
      <c r="G17" s="15"/>
      <c r="H17" s="15"/>
    </row>
    <row r="18" spans="1:8" ht="23.25" customHeight="1" x14ac:dyDescent="0.2">
      <c r="A18" s="3">
        <v>16</v>
      </c>
      <c r="B18" s="19"/>
      <c r="C18" s="23"/>
      <c r="D18" s="23"/>
      <c r="E18" s="23"/>
      <c r="F18" s="23"/>
      <c r="G18" s="15"/>
      <c r="H18" s="15"/>
    </row>
    <row r="19" spans="1:8" ht="23.25" customHeight="1" x14ac:dyDescent="0.2">
      <c r="A19" s="3">
        <v>17</v>
      </c>
      <c r="B19" s="19"/>
      <c r="C19" s="23"/>
      <c r="D19" s="23"/>
      <c r="E19" s="23"/>
      <c r="F19" s="23"/>
      <c r="G19" s="15"/>
      <c r="H19" s="15"/>
    </row>
    <row r="20" spans="1:8" ht="23.25" customHeight="1" x14ac:dyDescent="0.2">
      <c r="A20" s="3">
        <v>18</v>
      </c>
      <c r="B20" s="19"/>
      <c r="C20" s="23"/>
      <c r="D20" s="23"/>
      <c r="E20" s="23"/>
      <c r="F20" s="23"/>
      <c r="G20" s="15"/>
      <c r="H20" s="15"/>
    </row>
    <row r="21" spans="1:8" ht="23.25" customHeight="1" x14ac:dyDescent="0.2">
      <c r="A21" s="3">
        <v>19</v>
      </c>
      <c r="B21" s="19"/>
      <c r="C21" s="23"/>
      <c r="D21" s="23"/>
      <c r="E21" s="23"/>
      <c r="F21" s="23"/>
      <c r="G21" s="15"/>
      <c r="H21" s="15"/>
    </row>
    <row r="22" spans="1:8" ht="23.25" customHeight="1" x14ac:dyDescent="0.2">
      <c r="A22" s="3">
        <v>20</v>
      </c>
      <c r="B22" s="19"/>
      <c r="C22" s="23"/>
      <c r="D22" s="23"/>
      <c r="E22" s="23"/>
      <c r="F22" s="23"/>
      <c r="G22" s="15"/>
      <c r="H22" s="15"/>
    </row>
    <row r="23" spans="1:8" ht="23.25" customHeight="1" thickBot="1" x14ac:dyDescent="0.25">
      <c r="A23" s="3">
        <v>21</v>
      </c>
      <c r="B23" s="19"/>
      <c r="C23" s="24"/>
      <c r="D23" s="24"/>
      <c r="E23" s="24"/>
      <c r="F23" s="24"/>
      <c r="G23" s="24"/>
      <c r="H23" s="15"/>
    </row>
  </sheetData>
  <mergeCells count="2">
    <mergeCell ref="A1:C1"/>
    <mergeCell ref="D1:H1"/>
  </mergeCells>
  <phoneticPr fontId="10" type="noConversion"/>
  <pageMargins left="0.35433070866141736" right="0.27559055118110237" top="1.299212598425197" bottom="0.62992125984251968" header="0.27559055118110237" footer="0.27559055118110237"/>
  <pageSetup paperSize="8"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14.0 
Issue Date: 03/07/2014&amp;R&amp;8Page &amp;P of &amp;N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5" tint="0.59999389629810485"/>
    <pageSetUpPr fitToPage="1"/>
  </sheetPr>
  <dimension ref="B2:AJ105"/>
  <sheetViews>
    <sheetView view="pageLayout" topLeftCell="A13" zoomScaleNormal="100" workbookViewId="0">
      <selection activeCell="S92" sqref="S92"/>
    </sheetView>
  </sheetViews>
  <sheetFormatPr defaultColWidth="9.140625" defaultRowHeight="12.75" x14ac:dyDescent="0.2"/>
  <cols>
    <col min="1" max="26" width="9.140625" style="11"/>
    <col min="27" max="33" width="11.28515625" style="11" customWidth="1"/>
    <col min="34" max="16384" width="9.140625" style="11"/>
  </cols>
  <sheetData>
    <row r="2" spans="2:36" x14ac:dyDescent="0.2">
      <c r="B2" s="339"/>
      <c r="C2" s="340"/>
      <c r="D2" s="340"/>
      <c r="E2" s="340"/>
      <c r="F2" s="340"/>
      <c r="G2" s="340"/>
      <c r="H2" s="340"/>
      <c r="I2" s="340"/>
      <c r="J2" s="340"/>
      <c r="K2" s="340"/>
      <c r="L2" s="340"/>
      <c r="M2" s="340"/>
      <c r="N2" s="340"/>
      <c r="O2" s="340"/>
      <c r="P2" s="340"/>
      <c r="Q2" s="340"/>
      <c r="R2" s="340"/>
      <c r="S2" s="340"/>
      <c r="T2" s="340"/>
      <c r="U2" s="340"/>
      <c r="V2" s="340"/>
    </row>
    <row r="3" spans="2:36" x14ac:dyDescent="0.2">
      <c r="B3" s="340"/>
      <c r="C3" s="340"/>
      <c r="D3" s="340"/>
      <c r="E3" s="340"/>
      <c r="F3" s="340"/>
      <c r="G3" s="340"/>
      <c r="H3" s="340"/>
      <c r="I3" s="340"/>
      <c r="J3" s="340"/>
      <c r="K3" s="340"/>
      <c r="L3" s="340"/>
      <c r="M3" s="340"/>
      <c r="N3" s="340"/>
      <c r="O3" s="340"/>
      <c r="P3" s="340"/>
      <c r="Q3" s="340"/>
      <c r="R3" s="340"/>
      <c r="S3" s="340"/>
      <c r="T3" s="340"/>
      <c r="U3" s="340"/>
      <c r="V3" s="340"/>
      <c r="W3" s="140"/>
      <c r="X3" s="140"/>
      <c r="Y3" s="140"/>
      <c r="Z3" s="140"/>
      <c r="AA3" s="140"/>
      <c r="AB3" s="140"/>
      <c r="AC3" s="140"/>
      <c r="AD3" s="140"/>
      <c r="AE3" s="140"/>
      <c r="AF3" s="140"/>
      <c r="AG3" s="140"/>
      <c r="AH3" s="140"/>
      <c r="AI3" s="140"/>
      <c r="AJ3" s="140"/>
    </row>
    <row r="4" spans="2:36" ht="18" customHeight="1" x14ac:dyDescent="0.2">
      <c r="B4" s="340"/>
      <c r="C4" s="340"/>
      <c r="D4" s="340"/>
      <c r="E4" s="340"/>
      <c r="F4" s="340"/>
      <c r="G4" s="340"/>
      <c r="H4" s="340"/>
      <c r="I4" s="340"/>
      <c r="J4" s="340"/>
      <c r="K4" s="340"/>
      <c r="L4" s="340"/>
      <c r="M4" s="340"/>
      <c r="N4" s="340"/>
      <c r="O4" s="340"/>
      <c r="P4" s="340"/>
      <c r="Q4" s="340"/>
      <c r="R4" s="340"/>
      <c r="S4" s="340"/>
      <c r="T4" s="340"/>
      <c r="U4" s="340"/>
      <c r="V4" s="340"/>
      <c r="W4" s="140"/>
      <c r="X4" s="140"/>
      <c r="Y4" s="140"/>
      <c r="Z4" s="140"/>
      <c r="AA4" s="140"/>
      <c r="AB4" s="140"/>
      <c r="AC4" s="140"/>
      <c r="AD4" s="140"/>
      <c r="AE4" s="140"/>
      <c r="AF4" s="140"/>
      <c r="AG4" s="140"/>
      <c r="AH4" s="140"/>
      <c r="AI4" s="140"/>
      <c r="AJ4" s="140"/>
    </row>
    <row r="5" spans="2:36" ht="20.25" customHeight="1" x14ac:dyDescent="0.3">
      <c r="B5" s="340"/>
      <c r="C5" s="340"/>
      <c r="D5" s="340"/>
      <c r="E5" s="340"/>
      <c r="F5" s="340"/>
      <c r="G5" s="340"/>
      <c r="H5" s="340"/>
      <c r="I5" s="340"/>
      <c r="J5" s="340"/>
      <c r="K5" s="340"/>
      <c r="L5" s="340"/>
      <c r="M5" s="340"/>
      <c r="N5" s="340"/>
      <c r="O5" s="340"/>
      <c r="P5" s="340"/>
      <c r="Q5" s="340"/>
      <c r="R5" s="340"/>
      <c r="S5" s="340"/>
      <c r="T5" s="340"/>
      <c r="U5" s="340"/>
      <c r="V5" s="340"/>
      <c r="W5" s="140"/>
      <c r="X5" s="140"/>
      <c r="Y5" s="140"/>
      <c r="Z5" s="140"/>
      <c r="AA5" s="139" t="s">
        <v>122</v>
      </c>
      <c r="AB5" s="140"/>
      <c r="AC5" s="140"/>
      <c r="AD5" s="140"/>
      <c r="AE5" s="140"/>
      <c r="AF5" s="140"/>
      <c r="AG5" s="140"/>
      <c r="AH5" s="140"/>
      <c r="AI5" s="140"/>
      <c r="AJ5" s="140"/>
    </row>
    <row r="6" spans="2:36" x14ac:dyDescent="0.2">
      <c r="B6" s="340"/>
      <c r="C6" s="340"/>
      <c r="D6" s="340"/>
      <c r="E6" s="340"/>
      <c r="F6" s="340"/>
      <c r="G6" s="340"/>
      <c r="H6" s="340"/>
      <c r="I6" s="340"/>
      <c r="J6" s="340"/>
      <c r="K6" s="340"/>
      <c r="L6" s="340"/>
      <c r="M6" s="340"/>
      <c r="N6" s="340"/>
      <c r="O6" s="340"/>
      <c r="P6" s="340"/>
      <c r="Q6" s="340"/>
      <c r="R6" s="340"/>
      <c r="S6" s="340"/>
      <c r="T6" s="340"/>
      <c r="U6" s="340"/>
      <c r="V6" s="340"/>
      <c r="W6" s="140"/>
      <c r="X6" s="140"/>
      <c r="Y6" s="140"/>
      <c r="Z6" s="140"/>
      <c r="AA6" s="140"/>
      <c r="AB6" s="140"/>
      <c r="AC6" s="140"/>
      <c r="AD6" s="140"/>
      <c r="AE6" s="140"/>
      <c r="AF6" s="140"/>
      <c r="AG6" s="140"/>
      <c r="AH6" s="140"/>
      <c r="AI6" s="140"/>
      <c r="AJ6" s="140"/>
    </row>
    <row r="7" spans="2:36" x14ac:dyDescent="0.2">
      <c r="B7" s="340"/>
      <c r="C7" s="340"/>
      <c r="D7" s="340"/>
      <c r="E7" s="340"/>
      <c r="F7" s="340"/>
      <c r="G7" s="340"/>
      <c r="H7" s="340"/>
      <c r="I7" s="340"/>
      <c r="J7" s="340"/>
      <c r="K7" s="340"/>
      <c r="L7" s="340"/>
      <c r="M7" s="340"/>
      <c r="N7" s="340"/>
      <c r="O7" s="340"/>
      <c r="P7" s="340"/>
      <c r="Q7" s="340"/>
      <c r="R7" s="340"/>
      <c r="S7" s="340"/>
      <c r="T7" s="340"/>
      <c r="U7" s="340"/>
      <c r="V7" s="340"/>
      <c r="W7" s="140"/>
      <c r="X7" s="140"/>
      <c r="Y7" s="140"/>
      <c r="Z7" s="140"/>
      <c r="AA7" s="140"/>
      <c r="AB7" s="140"/>
      <c r="AC7" s="140"/>
      <c r="AD7" s="140"/>
      <c r="AE7" s="140"/>
      <c r="AF7" s="140"/>
      <c r="AG7" s="140"/>
      <c r="AH7" s="140"/>
      <c r="AI7" s="140"/>
      <c r="AJ7" s="140"/>
    </row>
    <row r="8" spans="2:36" x14ac:dyDescent="0.2">
      <c r="B8" s="340"/>
      <c r="C8" s="340"/>
      <c r="D8" s="340"/>
      <c r="E8" s="340"/>
      <c r="F8" s="340"/>
      <c r="G8" s="340"/>
      <c r="H8" s="340"/>
      <c r="I8" s="340"/>
      <c r="J8" s="340"/>
      <c r="K8" s="340"/>
      <c r="L8" s="340"/>
      <c r="M8" s="340"/>
      <c r="N8" s="340"/>
      <c r="O8" s="340"/>
      <c r="P8" s="340"/>
      <c r="Q8" s="340"/>
      <c r="R8" s="340"/>
      <c r="S8" s="340"/>
      <c r="T8" s="340"/>
      <c r="U8" s="340"/>
      <c r="V8" s="340"/>
      <c r="W8" s="140"/>
      <c r="X8" s="140"/>
      <c r="Y8" s="140"/>
      <c r="Z8" s="140"/>
      <c r="AA8" s="140"/>
      <c r="AB8" s="140"/>
      <c r="AC8" s="140"/>
      <c r="AD8" s="140"/>
      <c r="AE8" s="140"/>
      <c r="AF8" s="140"/>
      <c r="AG8" s="140"/>
      <c r="AH8" s="140"/>
      <c r="AI8" s="140"/>
      <c r="AJ8" s="140"/>
    </row>
    <row r="9" spans="2:36" x14ac:dyDescent="0.2">
      <c r="B9" s="340"/>
      <c r="C9" s="340"/>
      <c r="D9" s="340"/>
      <c r="E9" s="340"/>
      <c r="F9" s="340"/>
      <c r="G9" s="340"/>
      <c r="H9" s="340"/>
      <c r="I9" s="340"/>
      <c r="J9" s="340"/>
      <c r="K9" s="340"/>
      <c r="L9" s="340"/>
      <c r="M9" s="340"/>
      <c r="N9" s="340"/>
      <c r="O9" s="340"/>
      <c r="P9" s="340"/>
      <c r="Q9" s="340"/>
      <c r="R9" s="340"/>
      <c r="S9" s="340"/>
      <c r="T9" s="340"/>
      <c r="U9" s="340"/>
      <c r="V9" s="340"/>
      <c r="W9" s="140"/>
      <c r="X9" s="140"/>
      <c r="Y9" s="140"/>
      <c r="Z9" s="140"/>
      <c r="AA9" s="140"/>
      <c r="AB9" s="140"/>
      <c r="AC9" s="140"/>
      <c r="AD9" s="140"/>
      <c r="AE9" s="140"/>
      <c r="AF9" s="140"/>
      <c r="AG9" s="140"/>
      <c r="AH9" s="140"/>
      <c r="AI9" s="140"/>
      <c r="AJ9" s="140"/>
    </row>
    <row r="10" spans="2:36" x14ac:dyDescent="0.2">
      <c r="B10" s="340"/>
      <c r="C10" s="340"/>
      <c r="D10" s="340"/>
      <c r="E10" s="340"/>
      <c r="F10" s="340"/>
      <c r="G10" s="340"/>
      <c r="H10" s="340"/>
      <c r="I10" s="340"/>
      <c r="J10" s="340"/>
      <c r="K10" s="340"/>
      <c r="L10" s="340"/>
      <c r="M10" s="340"/>
      <c r="N10" s="340"/>
      <c r="O10" s="340"/>
      <c r="P10" s="340"/>
      <c r="Q10" s="340"/>
      <c r="R10" s="340"/>
      <c r="S10" s="340"/>
      <c r="T10" s="340"/>
      <c r="U10" s="340"/>
      <c r="V10" s="340"/>
      <c r="W10" s="140"/>
      <c r="X10" s="140"/>
      <c r="Y10" s="140"/>
      <c r="Z10" s="140"/>
      <c r="AA10" s="140"/>
      <c r="AB10" s="140"/>
      <c r="AC10" s="140"/>
      <c r="AD10" s="140"/>
      <c r="AE10" s="140"/>
      <c r="AF10" s="140"/>
      <c r="AG10" s="140"/>
      <c r="AH10" s="140"/>
      <c r="AI10" s="140"/>
      <c r="AJ10" s="140"/>
    </row>
    <row r="11" spans="2:36" x14ac:dyDescent="0.2">
      <c r="B11" s="340"/>
      <c r="C11" s="340"/>
      <c r="D11" s="340"/>
      <c r="E11" s="340"/>
      <c r="F11" s="340"/>
      <c r="G11" s="340"/>
      <c r="H11" s="340"/>
      <c r="I11" s="340"/>
      <c r="J11" s="340"/>
      <c r="K11" s="340"/>
      <c r="L11" s="340"/>
      <c r="M11" s="340"/>
      <c r="N11" s="340"/>
      <c r="O11" s="340"/>
      <c r="P11" s="340"/>
      <c r="Q11" s="340"/>
      <c r="R11" s="340"/>
      <c r="S11" s="340"/>
      <c r="T11" s="340"/>
      <c r="U11" s="340"/>
      <c r="V11" s="340"/>
      <c r="W11" s="140"/>
      <c r="X11" s="140"/>
      <c r="Y11" s="140"/>
      <c r="Z11" s="140"/>
      <c r="AA11" s="140"/>
      <c r="AB11" s="140"/>
      <c r="AC11" s="140"/>
      <c r="AD11" s="140"/>
      <c r="AE11" s="140"/>
      <c r="AF11" s="140"/>
      <c r="AG11" s="140"/>
      <c r="AH11" s="140"/>
      <c r="AI11" s="140"/>
      <c r="AJ11" s="140"/>
    </row>
    <row r="12" spans="2:36" x14ac:dyDescent="0.2">
      <c r="B12" s="340"/>
      <c r="C12" s="340"/>
      <c r="D12" s="340"/>
      <c r="E12" s="340"/>
      <c r="F12" s="340"/>
      <c r="G12" s="340"/>
      <c r="H12" s="340"/>
      <c r="I12" s="340"/>
      <c r="J12" s="340"/>
      <c r="K12" s="340"/>
      <c r="L12" s="340"/>
      <c r="M12" s="340"/>
      <c r="N12" s="340"/>
      <c r="O12" s="340"/>
      <c r="P12" s="340"/>
      <c r="Q12" s="340"/>
      <c r="R12" s="340"/>
      <c r="S12" s="340"/>
      <c r="T12" s="340"/>
      <c r="U12" s="340"/>
      <c r="V12" s="340"/>
      <c r="W12" s="140"/>
      <c r="X12" s="140"/>
      <c r="Y12" s="140"/>
      <c r="Z12" s="140"/>
      <c r="AA12" s="140"/>
      <c r="AB12" s="140"/>
      <c r="AC12" s="140"/>
      <c r="AD12" s="140"/>
      <c r="AE12" s="140"/>
      <c r="AF12" s="140"/>
      <c r="AG12" s="140"/>
      <c r="AH12" s="140"/>
      <c r="AI12" s="140"/>
      <c r="AJ12" s="140"/>
    </row>
    <row r="13" spans="2:36" x14ac:dyDescent="0.2">
      <c r="B13" s="340"/>
      <c r="C13" s="340"/>
      <c r="D13" s="340"/>
      <c r="E13" s="340"/>
      <c r="F13" s="340"/>
      <c r="G13" s="340"/>
      <c r="H13" s="340"/>
      <c r="I13" s="340"/>
      <c r="J13" s="340"/>
      <c r="K13" s="340"/>
      <c r="L13" s="340"/>
      <c r="M13" s="340"/>
      <c r="N13" s="340"/>
      <c r="O13" s="340"/>
      <c r="P13" s="340"/>
      <c r="Q13" s="340"/>
      <c r="R13" s="340"/>
      <c r="S13" s="340"/>
      <c r="T13" s="340"/>
      <c r="U13" s="340"/>
      <c r="V13" s="340"/>
      <c r="W13" s="140"/>
      <c r="X13" s="140"/>
      <c r="Y13" s="140"/>
      <c r="Z13" s="140"/>
      <c r="AA13" s="140"/>
      <c r="AB13" s="140"/>
      <c r="AC13" s="140"/>
      <c r="AD13" s="140"/>
      <c r="AE13" s="140"/>
      <c r="AF13" s="140"/>
      <c r="AG13" s="140"/>
      <c r="AH13" s="140"/>
      <c r="AI13" s="140"/>
      <c r="AJ13" s="140"/>
    </row>
    <row r="14" spans="2:36" x14ac:dyDescent="0.2">
      <c r="B14" s="340"/>
      <c r="C14" s="340"/>
      <c r="D14" s="340"/>
      <c r="E14" s="340"/>
      <c r="F14" s="340"/>
      <c r="G14" s="340"/>
      <c r="H14" s="340"/>
      <c r="I14" s="340"/>
      <c r="J14" s="340"/>
      <c r="K14" s="340"/>
      <c r="L14" s="340"/>
      <c r="M14" s="340"/>
      <c r="N14" s="340"/>
      <c r="O14" s="340"/>
      <c r="P14" s="340"/>
      <c r="Q14" s="340"/>
      <c r="R14" s="340"/>
      <c r="S14" s="340"/>
      <c r="T14" s="340"/>
      <c r="U14" s="340"/>
      <c r="V14" s="340"/>
      <c r="W14" s="140"/>
      <c r="X14" s="140"/>
      <c r="Y14" s="140"/>
      <c r="Z14" s="140"/>
      <c r="AA14" s="140"/>
      <c r="AB14" s="140"/>
      <c r="AC14" s="140"/>
      <c r="AD14" s="140"/>
      <c r="AE14" s="140"/>
      <c r="AF14" s="140"/>
      <c r="AG14" s="140"/>
      <c r="AH14" s="140"/>
      <c r="AI14" s="140"/>
      <c r="AJ14" s="140"/>
    </row>
    <row r="15" spans="2:36" x14ac:dyDescent="0.2">
      <c r="B15" s="340"/>
      <c r="C15" s="340"/>
      <c r="D15" s="340"/>
      <c r="E15" s="340"/>
      <c r="F15" s="340"/>
      <c r="G15" s="340"/>
      <c r="H15" s="340"/>
      <c r="I15" s="340"/>
      <c r="J15" s="340"/>
      <c r="K15" s="340"/>
      <c r="L15" s="340"/>
      <c r="M15" s="340"/>
      <c r="N15" s="340"/>
      <c r="O15" s="340"/>
      <c r="P15" s="340"/>
      <c r="Q15" s="340"/>
      <c r="R15" s="340"/>
      <c r="S15" s="340"/>
      <c r="T15" s="340"/>
      <c r="U15" s="340"/>
      <c r="V15" s="340"/>
      <c r="W15" s="140"/>
      <c r="X15" s="140"/>
      <c r="Y15" s="140"/>
      <c r="Z15" s="140"/>
      <c r="AA15" s="140"/>
      <c r="AB15" s="140"/>
      <c r="AC15" s="140"/>
      <c r="AD15" s="140"/>
      <c r="AE15" s="140"/>
      <c r="AF15" s="140"/>
      <c r="AG15" s="140"/>
      <c r="AH15" s="140"/>
      <c r="AI15" s="140"/>
      <c r="AJ15" s="140"/>
    </row>
    <row r="16" spans="2:36" x14ac:dyDescent="0.2">
      <c r="B16" s="340"/>
      <c r="C16" s="340"/>
      <c r="D16" s="340"/>
      <c r="E16" s="340"/>
      <c r="F16" s="340"/>
      <c r="G16" s="340"/>
      <c r="H16" s="340"/>
      <c r="I16" s="340"/>
      <c r="J16" s="340"/>
      <c r="K16" s="340"/>
      <c r="L16" s="340"/>
      <c r="M16" s="340"/>
      <c r="N16" s="340"/>
      <c r="O16" s="340"/>
      <c r="P16" s="340"/>
      <c r="Q16" s="340"/>
      <c r="R16" s="340"/>
      <c r="S16" s="340"/>
      <c r="T16" s="340"/>
      <c r="U16" s="340"/>
      <c r="V16" s="340"/>
      <c r="W16" s="140"/>
      <c r="X16" s="140"/>
      <c r="Y16" s="140"/>
      <c r="Z16" s="140"/>
      <c r="AA16" s="140"/>
      <c r="AB16" s="140"/>
      <c r="AC16" s="140"/>
      <c r="AD16" s="140"/>
      <c r="AE16" s="140"/>
      <c r="AF16" s="140"/>
      <c r="AG16" s="140"/>
      <c r="AH16" s="140"/>
      <c r="AI16" s="140"/>
      <c r="AJ16" s="140"/>
    </row>
    <row r="17" spans="2:36" x14ac:dyDescent="0.2">
      <c r="B17" s="340"/>
      <c r="C17" s="340"/>
      <c r="D17" s="340"/>
      <c r="E17" s="340"/>
      <c r="F17" s="340"/>
      <c r="G17" s="340"/>
      <c r="H17" s="340"/>
      <c r="I17" s="340"/>
      <c r="J17" s="340"/>
      <c r="K17" s="340"/>
      <c r="L17" s="340"/>
      <c r="M17" s="340"/>
      <c r="N17" s="340"/>
      <c r="O17" s="340"/>
      <c r="P17" s="340"/>
      <c r="Q17" s="340"/>
      <c r="R17" s="340"/>
      <c r="S17" s="340"/>
      <c r="T17" s="340"/>
      <c r="U17" s="340"/>
      <c r="V17" s="340"/>
      <c r="W17" s="140"/>
      <c r="X17" s="140"/>
      <c r="Y17" s="140"/>
      <c r="Z17" s="140"/>
      <c r="AA17" s="140"/>
      <c r="AB17" s="140"/>
      <c r="AC17" s="140"/>
      <c r="AD17" s="140"/>
      <c r="AE17" s="140"/>
      <c r="AF17" s="140"/>
      <c r="AG17" s="140"/>
      <c r="AH17" s="140"/>
      <c r="AI17" s="140"/>
      <c r="AJ17" s="140"/>
    </row>
    <row r="18" spans="2:36" x14ac:dyDescent="0.2">
      <c r="B18" s="340"/>
      <c r="C18" s="340"/>
      <c r="D18" s="340"/>
      <c r="E18" s="340"/>
      <c r="F18" s="340"/>
      <c r="G18" s="340"/>
      <c r="H18" s="340"/>
      <c r="I18" s="340"/>
      <c r="J18" s="340"/>
      <c r="K18" s="340"/>
      <c r="L18" s="340"/>
      <c r="M18" s="340"/>
      <c r="N18" s="340"/>
      <c r="O18" s="340"/>
      <c r="P18" s="340"/>
      <c r="Q18" s="340"/>
      <c r="R18" s="340"/>
      <c r="S18" s="340"/>
      <c r="T18" s="340"/>
      <c r="U18" s="340"/>
      <c r="V18" s="340"/>
      <c r="W18" s="140"/>
      <c r="X18" s="140"/>
      <c r="Y18" s="140"/>
      <c r="Z18" s="140"/>
      <c r="AA18" s="140"/>
      <c r="AB18" s="140"/>
      <c r="AC18" s="140"/>
      <c r="AD18" s="140"/>
      <c r="AE18" s="140"/>
      <c r="AF18" s="140"/>
      <c r="AG18" s="140"/>
      <c r="AH18" s="140"/>
      <c r="AI18" s="140"/>
      <c r="AJ18" s="140"/>
    </row>
    <row r="19" spans="2:36" x14ac:dyDescent="0.2">
      <c r="B19" s="340"/>
      <c r="C19" s="340"/>
      <c r="D19" s="340"/>
      <c r="E19" s="340"/>
      <c r="F19" s="340"/>
      <c r="G19" s="340"/>
      <c r="H19" s="340"/>
      <c r="I19" s="340"/>
      <c r="J19" s="340"/>
      <c r="K19" s="340"/>
      <c r="L19" s="340"/>
      <c r="M19" s="340"/>
      <c r="N19" s="340"/>
      <c r="O19" s="340"/>
      <c r="P19" s="340"/>
      <c r="Q19" s="340"/>
      <c r="R19" s="340"/>
      <c r="S19" s="340"/>
      <c r="T19" s="340"/>
      <c r="U19" s="340"/>
      <c r="V19" s="340"/>
      <c r="W19" s="140"/>
      <c r="X19" s="140"/>
      <c r="Y19" s="140"/>
      <c r="Z19" s="140"/>
      <c r="AA19" s="140"/>
      <c r="AB19" s="140"/>
      <c r="AC19" s="140"/>
      <c r="AD19" s="140"/>
      <c r="AE19" s="140"/>
      <c r="AF19" s="140"/>
      <c r="AG19" s="140"/>
      <c r="AH19" s="140"/>
      <c r="AI19" s="140"/>
      <c r="AJ19" s="140"/>
    </row>
    <row r="20" spans="2:36" x14ac:dyDescent="0.2">
      <c r="B20" s="340"/>
      <c r="C20" s="340"/>
      <c r="D20" s="340"/>
      <c r="E20" s="340"/>
      <c r="F20" s="340"/>
      <c r="G20" s="340"/>
      <c r="H20" s="340"/>
      <c r="I20" s="340"/>
      <c r="J20" s="340"/>
      <c r="K20" s="340"/>
      <c r="L20" s="340"/>
      <c r="M20" s="340"/>
      <c r="N20" s="340"/>
      <c r="O20" s="340"/>
      <c r="P20" s="340"/>
      <c r="Q20" s="340"/>
      <c r="R20" s="340"/>
      <c r="S20" s="340"/>
      <c r="T20" s="340"/>
      <c r="U20" s="340"/>
      <c r="V20" s="340"/>
      <c r="W20" s="140"/>
      <c r="X20" s="140"/>
      <c r="Y20" s="140"/>
      <c r="Z20" s="140"/>
      <c r="AA20" s="140"/>
      <c r="AB20" s="140"/>
      <c r="AC20" s="140"/>
      <c r="AD20" s="140"/>
      <c r="AE20" s="140"/>
      <c r="AF20" s="140"/>
      <c r="AG20" s="140"/>
      <c r="AH20" s="140"/>
      <c r="AI20" s="140"/>
      <c r="AJ20" s="140"/>
    </row>
    <row r="21" spans="2:36" x14ac:dyDescent="0.2">
      <c r="B21" s="340"/>
      <c r="C21" s="340"/>
      <c r="D21" s="340"/>
      <c r="E21" s="340"/>
      <c r="F21" s="340"/>
      <c r="G21" s="340"/>
      <c r="H21" s="340"/>
      <c r="I21" s="340"/>
      <c r="J21" s="340"/>
      <c r="K21" s="340"/>
      <c r="L21" s="340"/>
      <c r="M21" s="340"/>
      <c r="N21" s="340"/>
      <c r="O21" s="340"/>
      <c r="P21" s="340"/>
      <c r="Q21" s="340"/>
      <c r="R21" s="340"/>
      <c r="S21" s="340"/>
      <c r="T21" s="340"/>
      <c r="U21" s="340"/>
      <c r="V21" s="340"/>
      <c r="W21" s="140"/>
      <c r="X21" s="140"/>
      <c r="Y21" s="140"/>
      <c r="Z21" s="140"/>
      <c r="AA21" s="140"/>
      <c r="AB21" s="140"/>
      <c r="AC21" s="140"/>
      <c r="AD21" s="140"/>
      <c r="AE21" s="140"/>
      <c r="AF21" s="140"/>
      <c r="AG21" s="140"/>
      <c r="AH21" s="140"/>
      <c r="AI21" s="140"/>
      <c r="AJ21" s="140"/>
    </row>
    <row r="22" spans="2:36" x14ac:dyDescent="0.2">
      <c r="B22" s="340"/>
      <c r="C22" s="340"/>
      <c r="D22" s="340"/>
      <c r="E22" s="340"/>
      <c r="F22" s="340"/>
      <c r="G22" s="340"/>
      <c r="H22" s="340"/>
      <c r="I22" s="340"/>
      <c r="J22" s="340"/>
      <c r="K22" s="340"/>
      <c r="L22" s="340"/>
      <c r="M22" s="340"/>
      <c r="N22" s="340"/>
      <c r="O22" s="340"/>
      <c r="P22" s="340"/>
      <c r="Q22" s="340"/>
      <c r="R22" s="340"/>
      <c r="S22" s="340"/>
      <c r="T22" s="340"/>
      <c r="U22" s="340"/>
      <c r="V22" s="340"/>
      <c r="W22" s="140"/>
      <c r="X22" s="140"/>
      <c r="Y22" s="140"/>
      <c r="Z22" s="140"/>
      <c r="AA22" s="140"/>
      <c r="AB22" s="140"/>
      <c r="AC22" s="140"/>
      <c r="AD22" s="140"/>
      <c r="AE22" s="140"/>
      <c r="AF22" s="140"/>
      <c r="AG22" s="140"/>
      <c r="AH22" s="140"/>
      <c r="AI22" s="140"/>
      <c r="AJ22" s="140"/>
    </row>
    <row r="23" spans="2:36" x14ac:dyDescent="0.2">
      <c r="B23" s="340"/>
      <c r="C23" s="340"/>
      <c r="D23" s="340"/>
      <c r="E23" s="340"/>
      <c r="F23" s="340"/>
      <c r="G23" s="340"/>
      <c r="H23" s="340"/>
      <c r="I23" s="340"/>
      <c r="J23" s="340"/>
      <c r="K23" s="340"/>
      <c r="L23" s="340"/>
      <c r="M23" s="340"/>
      <c r="N23" s="340"/>
      <c r="O23" s="340"/>
      <c r="P23" s="340"/>
      <c r="Q23" s="340"/>
      <c r="R23" s="340"/>
      <c r="S23" s="340"/>
      <c r="T23" s="340"/>
      <c r="U23" s="340"/>
      <c r="V23" s="340"/>
      <c r="W23" s="140"/>
      <c r="X23" s="140"/>
      <c r="Y23" s="140"/>
      <c r="Z23" s="140"/>
      <c r="AA23" s="140"/>
      <c r="AB23" s="140"/>
      <c r="AC23" s="140"/>
      <c r="AD23" s="140"/>
      <c r="AE23" s="140"/>
      <c r="AF23" s="140"/>
      <c r="AG23" s="140"/>
      <c r="AH23" s="140"/>
      <c r="AI23" s="140"/>
      <c r="AJ23" s="140"/>
    </row>
    <row r="24" spans="2:36" x14ac:dyDescent="0.2">
      <c r="B24" s="340"/>
      <c r="C24" s="340"/>
      <c r="D24" s="340"/>
      <c r="E24" s="340"/>
      <c r="F24" s="340"/>
      <c r="G24" s="340"/>
      <c r="H24" s="340"/>
      <c r="I24" s="340"/>
      <c r="J24" s="340"/>
      <c r="K24" s="340"/>
      <c r="L24" s="340"/>
      <c r="M24" s="340"/>
      <c r="N24" s="340"/>
      <c r="O24" s="340"/>
      <c r="P24" s="340"/>
      <c r="Q24" s="340"/>
      <c r="R24" s="340"/>
      <c r="S24" s="340"/>
      <c r="T24" s="340"/>
      <c r="U24" s="340"/>
      <c r="V24" s="340"/>
      <c r="W24" s="140"/>
      <c r="X24" s="140"/>
      <c r="Y24" s="140"/>
      <c r="Z24" s="140"/>
      <c r="AA24" s="140"/>
      <c r="AB24" s="140"/>
      <c r="AC24" s="140"/>
      <c r="AD24" s="140"/>
      <c r="AE24" s="140"/>
      <c r="AF24" s="140"/>
      <c r="AG24" s="140"/>
      <c r="AH24" s="140"/>
      <c r="AI24" s="140"/>
      <c r="AJ24" s="140"/>
    </row>
    <row r="25" spans="2:36" x14ac:dyDescent="0.2">
      <c r="B25" s="340"/>
      <c r="C25" s="340"/>
      <c r="D25" s="340"/>
      <c r="E25" s="340"/>
      <c r="F25" s="340"/>
      <c r="G25" s="340"/>
      <c r="H25" s="340"/>
      <c r="I25" s="340"/>
      <c r="J25" s="340"/>
      <c r="K25" s="340"/>
      <c r="L25" s="340"/>
      <c r="M25" s="340"/>
      <c r="N25" s="340"/>
      <c r="O25" s="340"/>
      <c r="P25" s="340"/>
      <c r="Q25" s="340"/>
      <c r="R25" s="340"/>
      <c r="S25" s="340"/>
      <c r="T25" s="340"/>
      <c r="U25" s="340"/>
      <c r="V25" s="340"/>
      <c r="W25" s="140"/>
      <c r="X25" s="140"/>
      <c r="Y25" s="140"/>
      <c r="Z25" s="140"/>
      <c r="AA25" s="140"/>
      <c r="AB25" s="140"/>
      <c r="AC25" s="140"/>
      <c r="AD25" s="140"/>
      <c r="AE25" s="140"/>
      <c r="AF25" s="140"/>
      <c r="AG25" s="140"/>
      <c r="AH25" s="140"/>
      <c r="AI25" s="140"/>
      <c r="AJ25" s="140"/>
    </row>
    <row r="26" spans="2:36" x14ac:dyDescent="0.2">
      <c r="B26" s="340"/>
      <c r="C26" s="340"/>
      <c r="D26" s="340"/>
      <c r="E26" s="340"/>
      <c r="F26" s="340"/>
      <c r="G26" s="340"/>
      <c r="H26" s="340"/>
      <c r="I26" s="340"/>
      <c r="J26" s="340"/>
      <c r="K26" s="340"/>
      <c r="L26" s="340"/>
      <c r="M26" s="340"/>
      <c r="N26" s="340"/>
      <c r="O26" s="340"/>
      <c r="P26" s="340"/>
      <c r="Q26" s="340"/>
      <c r="R26" s="340"/>
      <c r="S26" s="340"/>
      <c r="T26" s="340"/>
      <c r="U26" s="340"/>
      <c r="V26" s="340"/>
      <c r="W26" s="140"/>
      <c r="X26" s="140"/>
      <c r="Y26" s="140"/>
      <c r="Z26" s="140"/>
      <c r="AA26" s="140"/>
      <c r="AB26" s="140"/>
      <c r="AC26" s="140"/>
      <c r="AD26" s="140"/>
      <c r="AE26" s="140"/>
      <c r="AF26" s="140"/>
      <c r="AG26" s="140"/>
      <c r="AH26" s="140"/>
      <c r="AI26" s="140"/>
      <c r="AJ26" s="140"/>
    </row>
    <row r="27" spans="2:36" ht="12.75" customHeight="1" x14ac:dyDescent="0.2">
      <c r="B27" s="340"/>
      <c r="C27" s="340"/>
      <c r="D27" s="340"/>
      <c r="E27" s="340"/>
      <c r="F27" s="340"/>
      <c r="G27" s="340"/>
      <c r="H27" s="340"/>
      <c r="I27" s="340"/>
      <c r="J27" s="340"/>
      <c r="K27" s="340"/>
      <c r="L27" s="340"/>
      <c r="M27" s="340"/>
      <c r="N27" s="340"/>
      <c r="O27" s="340"/>
      <c r="P27" s="340"/>
      <c r="Q27" s="340"/>
      <c r="R27" s="340"/>
      <c r="S27" s="340"/>
      <c r="T27" s="340"/>
      <c r="U27" s="340"/>
      <c r="V27" s="340"/>
      <c r="W27" s="140"/>
      <c r="X27" s="140"/>
      <c r="Y27" s="140"/>
      <c r="Z27" s="140"/>
      <c r="AA27" s="140"/>
      <c r="AB27" s="140"/>
      <c r="AC27" s="140"/>
      <c r="AD27" s="140"/>
      <c r="AE27" s="140"/>
      <c r="AF27" s="140"/>
      <c r="AG27" s="140"/>
      <c r="AH27" s="140"/>
      <c r="AI27" s="140"/>
      <c r="AJ27" s="140"/>
    </row>
    <row r="28" spans="2:36" ht="20.25" x14ac:dyDescent="0.3">
      <c r="B28" s="340"/>
      <c r="C28" s="340"/>
      <c r="D28" s="340"/>
      <c r="E28" s="340"/>
      <c r="F28" s="340"/>
      <c r="G28" s="340"/>
      <c r="H28" s="340"/>
      <c r="I28" s="340"/>
      <c r="J28" s="340"/>
      <c r="K28" s="340"/>
      <c r="L28" s="340"/>
      <c r="M28" s="340"/>
      <c r="N28" s="340"/>
      <c r="O28" s="340"/>
      <c r="P28" s="340"/>
      <c r="Q28" s="340"/>
      <c r="R28" s="340"/>
      <c r="S28" s="340"/>
      <c r="T28" s="340"/>
      <c r="U28" s="340"/>
      <c r="V28" s="340"/>
      <c r="W28" s="140"/>
      <c r="X28" s="140"/>
      <c r="Y28" s="140"/>
      <c r="Z28" s="140"/>
      <c r="AA28" s="140"/>
      <c r="AB28" s="141"/>
      <c r="AC28" s="140"/>
      <c r="AD28" s="140"/>
      <c r="AE28" s="140"/>
      <c r="AF28" s="140"/>
      <c r="AG28" s="140"/>
      <c r="AH28" s="140"/>
      <c r="AI28" s="140"/>
      <c r="AJ28" s="140"/>
    </row>
    <row r="29" spans="2:36" x14ac:dyDescent="0.2">
      <c r="B29" s="340"/>
      <c r="C29" s="340"/>
      <c r="D29" s="340"/>
      <c r="E29" s="340"/>
      <c r="F29" s="340"/>
      <c r="G29" s="340"/>
      <c r="H29" s="340"/>
      <c r="I29" s="340"/>
      <c r="J29" s="340"/>
      <c r="K29" s="340"/>
      <c r="L29" s="340"/>
      <c r="M29" s="340"/>
      <c r="N29" s="340"/>
      <c r="O29" s="340"/>
      <c r="P29" s="340"/>
      <c r="Q29" s="340"/>
      <c r="R29" s="340"/>
      <c r="S29" s="340"/>
      <c r="T29" s="340"/>
      <c r="U29" s="340"/>
      <c r="V29" s="340"/>
      <c r="W29" s="140"/>
      <c r="X29" s="140"/>
      <c r="Y29" s="140"/>
      <c r="Z29" s="140"/>
      <c r="AA29" s="140"/>
      <c r="AB29" s="140"/>
      <c r="AC29" s="140"/>
      <c r="AD29" s="140"/>
      <c r="AE29" s="140"/>
      <c r="AF29" s="140"/>
      <c r="AG29" s="140"/>
      <c r="AH29" s="140"/>
      <c r="AI29" s="140"/>
      <c r="AJ29" s="140"/>
    </row>
    <row r="30" spans="2:36" x14ac:dyDescent="0.2">
      <c r="B30" s="340"/>
      <c r="C30" s="340"/>
      <c r="D30" s="340"/>
      <c r="E30" s="340"/>
      <c r="F30" s="340"/>
      <c r="G30" s="340"/>
      <c r="H30" s="340"/>
      <c r="I30" s="340"/>
      <c r="J30" s="340"/>
      <c r="K30" s="340"/>
      <c r="L30" s="340"/>
      <c r="M30" s="340"/>
      <c r="N30" s="340"/>
      <c r="O30" s="340"/>
      <c r="P30" s="340"/>
      <c r="Q30" s="340"/>
      <c r="R30" s="340"/>
      <c r="S30" s="340"/>
      <c r="T30" s="340"/>
      <c r="U30" s="340"/>
      <c r="V30" s="340"/>
      <c r="W30" s="140"/>
      <c r="X30" s="140"/>
      <c r="Y30" s="140"/>
      <c r="Z30" s="140"/>
      <c r="AA30" s="140"/>
      <c r="AB30" s="140"/>
      <c r="AC30" s="140"/>
      <c r="AD30" s="140"/>
      <c r="AE30" s="140"/>
      <c r="AF30" s="140"/>
      <c r="AG30" s="140"/>
      <c r="AH30" s="140"/>
      <c r="AI30" s="140"/>
      <c r="AJ30" s="140"/>
    </row>
    <row r="31" spans="2:36" x14ac:dyDescent="0.2">
      <c r="B31" s="340"/>
      <c r="C31" s="340"/>
      <c r="D31" s="340"/>
      <c r="E31" s="340"/>
      <c r="F31" s="340"/>
      <c r="G31" s="340"/>
      <c r="H31" s="340"/>
      <c r="I31" s="340"/>
      <c r="J31" s="340"/>
      <c r="K31" s="340"/>
      <c r="L31" s="340"/>
      <c r="M31" s="340"/>
      <c r="N31" s="340"/>
      <c r="O31" s="340"/>
      <c r="P31" s="340"/>
      <c r="Q31" s="340"/>
      <c r="R31" s="340"/>
      <c r="S31" s="340"/>
      <c r="T31" s="340"/>
      <c r="U31" s="340"/>
      <c r="V31" s="340"/>
      <c r="W31" s="140"/>
      <c r="X31" s="140"/>
      <c r="Y31" s="140"/>
      <c r="Z31" s="140"/>
      <c r="AA31" s="140"/>
      <c r="AB31" s="140"/>
      <c r="AC31" s="140"/>
      <c r="AD31" s="140"/>
      <c r="AE31" s="140"/>
      <c r="AF31" s="140"/>
      <c r="AG31" s="140"/>
      <c r="AH31" s="140"/>
      <c r="AI31" s="140"/>
      <c r="AJ31" s="140"/>
    </row>
    <row r="32" spans="2:36" x14ac:dyDescent="0.2">
      <c r="B32" s="340"/>
      <c r="C32" s="340"/>
      <c r="D32" s="340"/>
      <c r="E32" s="340"/>
      <c r="F32" s="340"/>
      <c r="G32" s="340"/>
      <c r="H32" s="340"/>
      <c r="I32" s="340"/>
      <c r="J32" s="340"/>
      <c r="K32" s="340"/>
      <c r="L32" s="340"/>
      <c r="M32" s="340"/>
      <c r="N32" s="340"/>
      <c r="O32" s="340"/>
      <c r="P32" s="340"/>
      <c r="Q32" s="340"/>
      <c r="R32" s="340"/>
      <c r="S32" s="340"/>
      <c r="T32" s="340"/>
      <c r="U32" s="340"/>
      <c r="V32" s="340"/>
      <c r="W32" s="140"/>
      <c r="X32" s="140"/>
      <c r="Y32" s="140"/>
      <c r="Z32" s="140"/>
      <c r="AA32" s="140"/>
      <c r="AB32" s="140"/>
      <c r="AC32" s="140"/>
      <c r="AD32" s="140"/>
      <c r="AE32" s="140"/>
      <c r="AF32" s="140"/>
      <c r="AG32" s="140"/>
      <c r="AH32" s="140"/>
      <c r="AI32" s="140"/>
      <c r="AJ32" s="140"/>
    </row>
    <row r="33" spans="2:36" x14ac:dyDescent="0.2">
      <c r="B33" s="340"/>
      <c r="C33" s="340"/>
      <c r="D33" s="340"/>
      <c r="E33" s="340"/>
      <c r="F33" s="340"/>
      <c r="G33" s="340"/>
      <c r="H33" s="340"/>
      <c r="I33" s="340"/>
      <c r="J33" s="340"/>
      <c r="K33" s="340"/>
      <c r="L33" s="340"/>
      <c r="M33" s="340"/>
      <c r="N33" s="340"/>
      <c r="O33" s="340"/>
      <c r="P33" s="340"/>
      <c r="Q33" s="340"/>
      <c r="R33" s="340"/>
      <c r="S33" s="340"/>
      <c r="T33" s="340"/>
      <c r="U33" s="340"/>
      <c r="V33" s="340"/>
      <c r="W33" s="140"/>
      <c r="X33" s="140"/>
      <c r="Y33" s="140"/>
      <c r="Z33" s="140"/>
      <c r="AA33" s="140"/>
      <c r="AB33" s="140"/>
      <c r="AC33" s="140"/>
      <c r="AD33" s="140"/>
      <c r="AE33" s="140"/>
      <c r="AF33" s="140"/>
      <c r="AG33" s="140"/>
      <c r="AH33" s="140"/>
      <c r="AI33" s="140"/>
      <c r="AJ33" s="140"/>
    </row>
    <row r="34" spans="2:36" x14ac:dyDescent="0.2">
      <c r="B34" s="340"/>
      <c r="C34" s="340"/>
      <c r="D34" s="340"/>
      <c r="E34" s="340"/>
      <c r="F34" s="340"/>
      <c r="G34" s="340"/>
      <c r="H34" s="340"/>
      <c r="I34" s="340"/>
      <c r="J34" s="340"/>
      <c r="K34" s="340"/>
      <c r="L34" s="340"/>
      <c r="M34" s="340"/>
      <c r="N34" s="340"/>
      <c r="O34" s="340"/>
      <c r="P34" s="340"/>
      <c r="Q34" s="340"/>
      <c r="R34" s="340"/>
      <c r="S34" s="340"/>
      <c r="T34" s="340"/>
      <c r="U34" s="340"/>
      <c r="V34" s="340"/>
      <c r="W34" s="140"/>
      <c r="X34" s="140"/>
      <c r="Y34" s="140"/>
      <c r="Z34" s="140"/>
      <c r="AA34" s="140"/>
      <c r="AB34" s="140"/>
      <c r="AC34" s="140"/>
      <c r="AD34" s="140"/>
      <c r="AE34" s="140"/>
      <c r="AF34" s="140"/>
      <c r="AG34" s="140"/>
      <c r="AH34" s="140"/>
      <c r="AI34" s="140"/>
      <c r="AJ34" s="140"/>
    </row>
    <row r="35" spans="2:36" x14ac:dyDescent="0.2">
      <c r="B35" s="340"/>
      <c r="C35" s="340"/>
      <c r="D35" s="340"/>
      <c r="E35" s="340"/>
      <c r="F35" s="340"/>
      <c r="G35" s="340"/>
      <c r="H35" s="340"/>
      <c r="I35" s="340"/>
      <c r="J35" s="340"/>
      <c r="K35" s="340"/>
      <c r="L35" s="340"/>
      <c r="M35" s="340"/>
      <c r="N35" s="340"/>
      <c r="O35" s="340"/>
      <c r="P35" s="340"/>
      <c r="Q35" s="340"/>
      <c r="R35" s="340"/>
      <c r="S35" s="340"/>
      <c r="T35" s="340"/>
      <c r="U35" s="340"/>
      <c r="V35" s="340"/>
      <c r="W35" s="140"/>
      <c r="X35" s="140"/>
      <c r="Y35" s="140"/>
      <c r="Z35" s="140"/>
      <c r="AA35" s="140"/>
      <c r="AB35" s="140"/>
      <c r="AC35" s="140"/>
      <c r="AD35" s="140"/>
      <c r="AE35" s="140"/>
      <c r="AF35" s="140"/>
      <c r="AG35" s="140"/>
      <c r="AH35" s="140"/>
      <c r="AI35" s="140"/>
      <c r="AJ35" s="140"/>
    </row>
    <row r="36" spans="2:36" x14ac:dyDescent="0.2">
      <c r="B36" s="340"/>
      <c r="C36" s="340"/>
      <c r="D36" s="340"/>
      <c r="E36" s="340"/>
      <c r="F36" s="340"/>
      <c r="G36" s="340"/>
      <c r="H36" s="340"/>
      <c r="I36" s="340"/>
      <c r="J36" s="340"/>
      <c r="K36" s="340"/>
      <c r="L36" s="340"/>
      <c r="M36" s="340"/>
      <c r="N36" s="340"/>
      <c r="O36" s="340"/>
      <c r="P36" s="340"/>
      <c r="Q36" s="340"/>
      <c r="R36" s="340"/>
      <c r="S36" s="340"/>
      <c r="T36" s="340"/>
      <c r="U36" s="340"/>
      <c r="V36" s="340"/>
      <c r="W36" s="140"/>
      <c r="X36" s="140"/>
      <c r="Y36" s="140"/>
      <c r="Z36" s="140"/>
      <c r="AA36" s="140"/>
      <c r="AB36" s="140"/>
      <c r="AC36" s="140"/>
      <c r="AD36" s="140"/>
      <c r="AE36" s="140"/>
      <c r="AF36" s="140"/>
      <c r="AG36" s="140"/>
      <c r="AH36" s="140"/>
      <c r="AI36" s="140"/>
      <c r="AJ36" s="140"/>
    </row>
    <row r="37" spans="2:36" x14ac:dyDescent="0.2">
      <c r="B37" s="340"/>
      <c r="C37" s="340"/>
      <c r="D37" s="340"/>
      <c r="E37" s="340"/>
      <c r="F37" s="340"/>
      <c r="G37" s="340"/>
      <c r="H37" s="340"/>
      <c r="I37" s="340"/>
      <c r="J37" s="340"/>
      <c r="K37" s="340"/>
      <c r="L37" s="340"/>
      <c r="M37" s="340"/>
      <c r="N37" s="340"/>
      <c r="O37" s="340"/>
      <c r="P37" s="340"/>
      <c r="Q37" s="340"/>
      <c r="R37" s="340"/>
      <c r="S37" s="340"/>
      <c r="T37" s="340"/>
      <c r="U37" s="340"/>
      <c r="V37" s="340"/>
      <c r="W37" s="140"/>
      <c r="X37" s="140"/>
      <c r="Y37" s="140"/>
      <c r="Z37" s="140"/>
      <c r="AA37" s="140"/>
      <c r="AB37" s="140"/>
      <c r="AC37" s="140"/>
      <c r="AD37" s="140"/>
      <c r="AE37" s="140"/>
      <c r="AF37" s="140"/>
      <c r="AG37" s="140"/>
      <c r="AH37" s="140"/>
      <c r="AI37" s="140"/>
      <c r="AJ37" s="140"/>
    </row>
    <row r="38" spans="2:36" x14ac:dyDescent="0.2">
      <c r="B38" s="340"/>
      <c r="C38" s="340"/>
      <c r="D38" s="340"/>
      <c r="E38" s="340"/>
      <c r="F38" s="340"/>
      <c r="G38" s="340"/>
      <c r="H38" s="340"/>
      <c r="I38" s="340"/>
      <c r="J38" s="340"/>
      <c r="K38" s="340"/>
      <c r="L38" s="340"/>
      <c r="M38" s="340"/>
      <c r="N38" s="340"/>
      <c r="O38" s="340"/>
      <c r="P38" s="340"/>
      <c r="Q38" s="340"/>
      <c r="R38" s="340"/>
      <c r="S38" s="340"/>
      <c r="T38" s="340"/>
      <c r="U38" s="340"/>
      <c r="V38" s="340"/>
      <c r="W38" s="140"/>
      <c r="X38" s="140"/>
      <c r="Y38" s="140"/>
      <c r="Z38" s="140"/>
      <c r="AA38" s="140"/>
      <c r="AB38" s="140"/>
      <c r="AC38" s="140"/>
      <c r="AD38" s="140"/>
      <c r="AE38" s="140"/>
      <c r="AF38" s="140"/>
      <c r="AG38" s="140"/>
      <c r="AH38" s="140"/>
      <c r="AI38" s="140"/>
      <c r="AJ38" s="140"/>
    </row>
    <row r="39" spans="2:36" x14ac:dyDescent="0.2">
      <c r="B39" s="340"/>
      <c r="C39" s="340"/>
      <c r="D39" s="340"/>
      <c r="E39" s="340"/>
      <c r="F39" s="340"/>
      <c r="G39" s="340"/>
      <c r="H39" s="340"/>
      <c r="I39" s="340"/>
      <c r="J39" s="340"/>
      <c r="K39" s="340"/>
      <c r="L39" s="340"/>
      <c r="M39" s="340"/>
      <c r="N39" s="340"/>
      <c r="O39" s="340"/>
      <c r="P39" s="340"/>
      <c r="Q39" s="340"/>
      <c r="R39" s="340"/>
      <c r="S39" s="340"/>
      <c r="T39" s="340"/>
      <c r="U39" s="340"/>
      <c r="V39" s="340"/>
      <c r="W39" s="140"/>
      <c r="X39" s="140"/>
      <c r="Y39" s="140"/>
      <c r="Z39" s="140"/>
      <c r="AA39" s="140"/>
      <c r="AB39" s="140"/>
      <c r="AC39" s="140"/>
      <c r="AD39" s="140"/>
      <c r="AE39" s="140"/>
      <c r="AF39" s="140"/>
      <c r="AG39" s="140"/>
      <c r="AH39" s="140"/>
      <c r="AI39" s="140"/>
      <c r="AJ39" s="140"/>
    </row>
    <row r="40" spans="2:36" x14ac:dyDescent="0.2">
      <c r="B40" s="340"/>
      <c r="C40" s="340"/>
      <c r="D40" s="340"/>
      <c r="E40" s="340"/>
      <c r="F40" s="340"/>
      <c r="G40" s="340"/>
      <c r="H40" s="340"/>
      <c r="I40" s="340"/>
      <c r="J40" s="340"/>
      <c r="K40" s="340"/>
      <c r="L40" s="340"/>
      <c r="M40" s="340"/>
      <c r="N40" s="340"/>
      <c r="O40" s="340"/>
      <c r="P40" s="340"/>
      <c r="Q40" s="340"/>
      <c r="R40" s="340"/>
      <c r="S40" s="340"/>
      <c r="T40" s="340"/>
      <c r="U40" s="340"/>
      <c r="V40" s="340"/>
      <c r="W40" s="140"/>
      <c r="X40" s="140"/>
      <c r="Y40" s="140"/>
      <c r="Z40" s="140"/>
      <c r="AA40" s="140"/>
      <c r="AB40" s="140"/>
      <c r="AC40" s="140"/>
      <c r="AD40" s="140"/>
      <c r="AE40" s="140"/>
      <c r="AF40" s="140"/>
      <c r="AG40" s="140"/>
      <c r="AH40" s="140"/>
      <c r="AI40" s="140"/>
      <c r="AJ40" s="140"/>
    </row>
    <row r="41" spans="2:36" x14ac:dyDescent="0.2">
      <c r="B41" s="340"/>
      <c r="C41" s="340"/>
      <c r="D41" s="340"/>
      <c r="E41" s="340"/>
      <c r="F41" s="340"/>
      <c r="G41" s="340"/>
      <c r="H41" s="340"/>
      <c r="I41" s="340"/>
      <c r="J41" s="340"/>
      <c r="K41" s="340"/>
      <c r="L41" s="340"/>
      <c r="M41" s="340"/>
      <c r="N41" s="340"/>
      <c r="O41" s="340"/>
      <c r="P41" s="340"/>
      <c r="Q41" s="340"/>
      <c r="R41" s="340"/>
      <c r="S41" s="340"/>
      <c r="T41" s="340"/>
      <c r="U41" s="340"/>
      <c r="V41" s="340"/>
      <c r="W41" s="140"/>
      <c r="X41" s="140"/>
      <c r="Y41" s="140"/>
      <c r="Z41" s="140"/>
      <c r="AA41" s="140"/>
      <c r="AB41" s="140"/>
      <c r="AC41" s="140"/>
      <c r="AD41" s="140"/>
      <c r="AE41" s="140"/>
      <c r="AF41" s="140"/>
      <c r="AG41" s="140"/>
      <c r="AH41" s="140"/>
      <c r="AI41" s="140"/>
      <c r="AJ41" s="140"/>
    </row>
    <row r="42" spans="2:36" x14ac:dyDescent="0.2">
      <c r="B42" s="340"/>
      <c r="C42" s="340"/>
      <c r="D42" s="340"/>
      <c r="E42" s="340"/>
      <c r="F42" s="340"/>
      <c r="G42" s="340"/>
      <c r="H42" s="340"/>
      <c r="I42" s="340"/>
      <c r="J42" s="340"/>
      <c r="K42" s="340"/>
      <c r="L42" s="340"/>
      <c r="M42" s="340"/>
      <c r="N42" s="340"/>
      <c r="O42" s="340"/>
      <c r="P42" s="340"/>
      <c r="Q42" s="340"/>
      <c r="R42" s="340"/>
      <c r="S42" s="340"/>
      <c r="T42" s="340"/>
      <c r="U42" s="340"/>
      <c r="V42" s="340"/>
      <c r="W42" s="140"/>
      <c r="X42" s="140"/>
      <c r="Y42" s="140"/>
      <c r="Z42" s="140"/>
      <c r="AA42" s="140"/>
      <c r="AB42" s="140"/>
      <c r="AC42" s="140"/>
      <c r="AD42" s="140"/>
      <c r="AE42" s="140"/>
      <c r="AF42" s="140"/>
      <c r="AG42" s="140"/>
      <c r="AH42" s="140"/>
      <c r="AI42" s="140"/>
      <c r="AJ42" s="140"/>
    </row>
    <row r="43" spans="2:36" x14ac:dyDescent="0.2">
      <c r="B43" s="340"/>
      <c r="C43" s="340"/>
      <c r="D43" s="340"/>
      <c r="E43" s="340"/>
      <c r="F43" s="340"/>
      <c r="G43" s="340"/>
      <c r="H43" s="340"/>
      <c r="I43" s="340"/>
      <c r="J43" s="340"/>
      <c r="K43" s="340"/>
      <c r="L43" s="340"/>
      <c r="M43" s="340"/>
      <c r="N43" s="340"/>
      <c r="O43" s="340"/>
      <c r="P43" s="340"/>
      <c r="Q43" s="340"/>
      <c r="R43" s="340"/>
      <c r="S43" s="340"/>
      <c r="T43" s="340"/>
      <c r="U43" s="340"/>
      <c r="V43" s="340"/>
    </row>
    <row r="44" spans="2:36" x14ac:dyDescent="0.2">
      <c r="B44" s="340"/>
      <c r="C44" s="340"/>
      <c r="D44" s="340"/>
      <c r="E44" s="340"/>
      <c r="F44" s="340"/>
      <c r="G44" s="340"/>
      <c r="H44" s="340"/>
      <c r="I44" s="340"/>
      <c r="J44" s="340"/>
      <c r="K44" s="340"/>
      <c r="L44" s="340"/>
      <c r="M44" s="340"/>
      <c r="N44" s="340"/>
      <c r="O44" s="340"/>
      <c r="P44" s="340"/>
      <c r="Q44" s="340"/>
      <c r="R44" s="340"/>
      <c r="S44" s="340"/>
      <c r="T44" s="340"/>
      <c r="U44" s="340"/>
      <c r="V44" s="340"/>
    </row>
    <row r="45" spans="2:36" x14ac:dyDescent="0.2">
      <c r="B45" s="340"/>
      <c r="C45" s="340"/>
      <c r="D45" s="340"/>
      <c r="E45" s="340"/>
      <c r="F45" s="340"/>
      <c r="G45" s="340"/>
      <c r="H45" s="340"/>
      <c r="I45" s="340"/>
      <c r="J45" s="340"/>
      <c r="K45" s="340"/>
      <c r="L45" s="340"/>
      <c r="M45" s="340"/>
      <c r="N45" s="340"/>
      <c r="O45" s="340"/>
      <c r="P45" s="340"/>
      <c r="Q45" s="340"/>
      <c r="R45" s="340"/>
      <c r="S45" s="340"/>
      <c r="T45" s="340"/>
      <c r="U45" s="340"/>
      <c r="V45" s="340"/>
    </row>
    <row r="46" spans="2:36" x14ac:dyDescent="0.2">
      <c r="B46" s="340"/>
      <c r="C46" s="340"/>
      <c r="D46" s="340"/>
      <c r="E46" s="340"/>
      <c r="F46" s="340"/>
      <c r="G46" s="340"/>
      <c r="H46" s="340"/>
      <c r="I46" s="340"/>
      <c r="J46" s="340"/>
      <c r="K46" s="340"/>
      <c r="L46" s="340"/>
      <c r="M46" s="340"/>
      <c r="N46" s="340"/>
      <c r="O46" s="340"/>
      <c r="P46" s="340"/>
      <c r="Q46" s="340"/>
      <c r="R46" s="340"/>
      <c r="S46" s="340"/>
      <c r="T46" s="340"/>
      <c r="U46" s="340"/>
      <c r="V46" s="340"/>
    </row>
    <row r="47" spans="2:36" x14ac:dyDescent="0.2">
      <c r="B47" s="340"/>
      <c r="C47" s="340"/>
      <c r="D47" s="340"/>
      <c r="E47" s="340"/>
      <c r="F47" s="340"/>
      <c r="G47" s="340"/>
      <c r="H47" s="340"/>
      <c r="I47" s="340"/>
      <c r="J47" s="340"/>
      <c r="K47" s="340"/>
      <c r="L47" s="340"/>
      <c r="M47" s="340"/>
      <c r="N47" s="340"/>
      <c r="O47" s="340"/>
      <c r="P47" s="340"/>
      <c r="Q47" s="340"/>
      <c r="R47" s="340"/>
      <c r="S47" s="340"/>
      <c r="T47" s="340"/>
      <c r="U47" s="340"/>
      <c r="V47" s="340"/>
    </row>
    <row r="48" spans="2:36" x14ac:dyDescent="0.2">
      <c r="B48" s="340"/>
      <c r="C48" s="340"/>
      <c r="D48" s="340"/>
      <c r="E48" s="340"/>
      <c r="F48" s="340"/>
      <c r="G48" s="340"/>
      <c r="H48" s="340"/>
      <c r="I48" s="340"/>
      <c r="J48" s="340"/>
      <c r="K48" s="340"/>
      <c r="L48" s="340"/>
      <c r="M48" s="340"/>
      <c r="N48" s="340"/>
      <c r="O48" s="340"/>
      <c r="P48" s="340"/>
      <c r="Q48" s="340"/>
      <c r="R48" s="340"/>
      <c r="S48" s="340"/>
      <c r="T48" s="340"/>
      <c r="U48" s="340"/>
      <c r="V48" s="340"/>
    </row>
    <row r="49" spans="2:22" x14ac:dyDescent="0.2">
      <c r="B49" s="340"/>
      <c r="C49" s="340"/>
      <c r="D49" s="340"/>
      <c r="E49" s="340"/>
      <c r="F49" s="340"/>
      <c r="G49" s="340"/>
      <c r="H49" s="340"/>
      <c r="I49" s="340"/>
      <c r="J49" s="340"/>
      <c r="K49" s="340"/>
      <c r="L49" s="340"/>
      <c r="M49" s="340"/>
      <c r="N49" s="340"/>
      <c r="O49" s="340"/>
      <c r="P49" s="340"/>
      <c r="Q49" s="340"/>
      <c r="R49" s="340"/>
      <c r="S49" s="340"/>
      <c r="T49" s="340"/>
      <c r="U49" s="340"/>
      <c r="V49" s="340"/>
    </row>
    <row r="50" spans="2:22" x14ac:dyDescent="0.2">
      <c r="B50" s="340"/>
      <c r="C50" s="340"/>
      <c r="D50" s="340"/>
      <c r="E50" s="340"/>
      <c r="F50" s="340"/>
      <c r="G50" s="340"/>
      <c r="H50" s="340"/>
      <c r="I50" s="340"/>
      <c r="J50" s="340"/>
      <c r="K50" s="340"/>
      <c r="L50" s="340"/>
      <c r="M50" s="340"/>
      <c r="N50" s="340"/>
      <c r="O50" s="340"/>
      <c r="P50" s="340"/>
      <c r="Q50" s="340"/>
      <c r="R50" s="340"/>
      <c r="S50" s="340"/>
      <c r="T50" s="340"/>
      <c r="U50" s="340"/>
      <c r="V50" s="340"/>
    </row>
    <row r="51" spans="2:22" x14ac:dyDescent="0.2">
      <c r="B51" s="340"/>
      <c r="C51" s="340"/>
      <c r="D51" s="340"/>
      <c r="E51" s="340"/>
      <c r="F51" s="340"/>
      <c r="G51" s="340"/>
      <c r="H51" s="340"/>
      <c r="I51" s="340"/>
      <c r="J51" s="340"/>
      <c r="K51" s="340"/>
      <c r="L51" s="340"/>
      <c r="M51" s="340"/>
      <c r="N51" s="340"/>
      <c r="O51" s="340"/>
      <c r="P51" s="340"/>
      <c r="Q51" s="340"/>
      <c r="R51" s="340"/>
      <c r="S51" s="340"/>
      <c r="T51" s="340"/>
      <c r="U51" s="340"/>
      <c r="V51" s="340"/>
    </row>
    <row r="52" spans="2:22" x14ac:dyDescent="0.2">
      <c r="B52" s="340"/>
      <c r="C52" s="340"/>
      <c r="D52" s="340"/>
      <c r="E52" s="340"/>
      <c r="F52" s="340"/>
      <c r="G52" s="340"/>
      <c r="H52" s="340"/>
      <c r="I52" s="340"/>
      <c r="J52" s="340"/>
      <c r="K52" s="340"/>
      <c r="L52" s="340"/>
      <c r="M52" s="340"/>
      <c r="N52" s="340"/>
      <c r="O52" s="340"/>
      <c r="P52" s="340"/>
      <c r="Q52" s="340"/>
      <c r="R52" s="340"/>
      <c r="S52" s="340"/>
      <c r="T52" s="340"/>
      <c r="U52" s="340"/>
      <c r="V52" s="340"/>
    </row>
    <row r="53" spans="2:22" x14ac:dyDescent="0.2">
      <c r="B53" s="340"/>
      <c r="C53" s="340"/>
      <c r="D53" s="340"/>
      <c r="E53" s="340"/>
      <c r="F53" s="340"/>
      <c r="G53" s="340"/>
      <c r="H53" s="340"/>
      <c r="I53" s="340"/>
      <c r="J53" s="340"/>
      <c r="K53" s="340"/>
      <c r="L53" s="340"/>
      <c r="M53" s="340"/>
      <c r="N53" s="340"/>
      <c r="O53" s="340"/>
      <c r="P53" s="340"/>
      <c r="Q53" s="340"/>
      <c r="R53" s="340"/>
      <c r="S53" s="340"/>
      <c r="T53" s="340"/>
      <c r="U53" s="340"/>
      <c r="V53" s="340"/>
    </row>
    <row r="54" spans="2:22" x14ac:dyDescent="0.2">
      <c r="B54" s="340"/>
      <c r="C54" s="340"/>
      <c r="D54" s="340"/>
      <c r="E54" s="340"/>
      <c r="F54" s="340"/>
      <c r="G54" s="340"/>
      <c r="H54" s="340"/>
      <c r="I54" s="340"/>
      <c r="J54" s="340"/>
      <c r="K54" s="340"/>
      <c r="L54" s="340"/>
      <c r="M54" s="340"/>
      <c r="N54" s="340"/>
      <c r="O54" s="340"/>
      <c r="P54" s="340"/>
      <c r="Q54" s="340"/>
      <c r="R54" s="340"/>
      <c r="S54" s="340"/>
      <c r="T54" s="340"/>
      <c r="U54" s="340"/>
      <c r="V54" s="340"/>
    </row>
    <row r="55" spans="2:22" x14ac:dyDescent="0.2">
      <c r="B55" s="340"/>
      <c r="C55" s="340"/>
      <c r="D55" s="340"/>
      <c r="E55" s="340"/>
      <c r="F55" s="340"/>
      <c r="G55" s="340"/>
      <c r="H55" s="340"/>
      <c r="I55" s="340"/>
      <c r="J55" s="340"/>
      <c r="K55" s="340"/>
      <c r="L55" s="340"/>
      <c r="M55" s="340"/>
      <c r="N55" s="340"/>
      <c r="O55" s="340"/>
      <c r="P55" s="340"/>
      <c r="Q55" s="340"/>
      <c r="R55" s="340"/>
      <c r="S55" s="340"/>
      <c r="T55" s="340"/>
      <c r="U55" s="340"/>
      <c r="V55" s="340"/>
    </row>
    <row r="56" spans="2:22" x14ac:dyDescent="0.2">
      <c r="B56" s="340"/>
      <c r="C56" s="340"/>
      <c r="D56" s="340"/>
      <c r="E56" s="340"/>
      <c r="F56" s="340"/>
      <c r="G56" s="340"/>
      <c r="H56" s="340"/>
      <c r="I56" s="340"/>
      <c r="J56" s="340"/>
      <c r="K56" s="340"/>
      <c r="L56" s="340"/>
      <c r="M56" s="340"/>
      <c r="N56" s="340"/>
      <c r="O56" s="340"/>
      <c r="P56" s="340"/>
      <c r="Q56" s="340"/>
      <c r="R56" s="340"/>
      <c r="S56" s="340"/>
      <c r="T56" s="340"/>
      <c r="U56" s="340"/>
      <c r="V56" s="340"/>
    </row>
    <row r="57" spans="2:22" x14ac:dyDescent="0.2">
      <c r="B57" s="340"/>
      <c r="C57" s="340"/>
      <c r="D57" s="340"/>
      <c r="E57" s="340"/>
      <c r="F57" s="340"/>
      <c r="G57" s="340"/>
      <c r="H57" s="340"/>
      <c r="I57" s="340"/>
      <c r="J57" s="340"/>
      <c r="K57" s="340"/>
      <c r="L57" s="340"/>
      <c r="M57" s="340"/>
      <c r="N57" s="340"/>
      <c r="O57" s="340"/>
      <c r="P57" s="340"/>
      <c r="Q57" s="340"/>
      <c r="R57" s="340"/>
      <c r="S57" s="340"/>
      <c r="T57" s="340"/>
      <c r="U57" s="340"/>
      <c r="V57" s="340"/>
    </row>
    <row r="58" spans="2:22" x14ac:dyDescent="0.2">
      <c r="B58" s="340"/>
      <c r="C58" s="340"/>
      <c r="D58" s="340"/>
      <c r="E58" s="340"/>
      <c r="F58" s="340"/>
      <c r="G58" s="340"/>
      <c r="H58" s="340"/>
      <c r="I58" s="340"/>
      <c r="J58" s="340"/>
      <c r="K58" s="340"/>
      <c r="L58" s="340"/>
      <c r="M58" s="340"/>
      <c r="N58" s="340"/>
      <c r="O58" s="340"/>
      <c r="P58" s="340"/>
      <c r="Q58" s="340"/>
      <c r="R58" s="340"/>
      <c r="S58" s="340"/>
      <c r="T58" s="340"/>
      <c r="U58" s="340"/>
      <c r="V58" s="340"/>
    </row>
    <row r="59" spans="2:22" x14ac:dyDescent="0.2">
      <c r="B59" s="340"/>
      <c r="C59" s="340"/>
      <c r="D59" s="340"/>
      <c r="E59" s="340"/>
      <c r="F59" s="340"/>
      <c r="G59" s="340"/>
      <c r="H59" s="340"/>
      <c r="I59" s="340"/>
      <c r="J59" s="340"/>
      <c r="K59" s="340"/>
      <c r="L59" s="340"/>
      <c r="M59" s="340"/>
      <c r="N59" s="340"/>
      <c r="O59" s="340"/>
      <c r="P59" s="340"/>
      <c r="Q59" s="340"/>
      <c r="R59" s="340"/>
      <c r="S59" s="340"/>
      <c r="T59" s="340"/>
      <c r="U59" s="340"/>
      <c r="V59" s="340"/>
    </row>
    <row r="60" spans="2:22" x14ac:dyDescent="0.2">
      <c r="B60" s="340"/>
      <c r="C60" s="340"/>
      <c r="D60" s="340"/>
      <c r="E60" s="340"/>
      <c r="F60" s="340"/>
      <c r="G60" s="340"/>
      <c r="H60" s="340"/>
      <c r="I60" s="340"/>
      <c r="J60" s="340"/>
      <c r="K60" s="340"/>
      <c r="L60" s="340"/>
      <c r="M60" s="340"/>
      <c r="N60" s="340"/>
      <c r="O60" s="340"/>
      <c r="P60" s="340"/>
      <c r="Q60" s="340"/>
      <c r="R60" s="340"/>
      <c r="S60" s="340"/>
      <c r="T60" s="340"/>
      <c r="U60" s="340"/>
      <c r="V60" s="340"/>
    </row>
    <row r="61" spans="2:22" x14ac:dyDescent="0.2">
      <c r="B61" s="138"/>
      <c r="C61" s="138"/>
      <c r="D61" s="138"/>
      <c r="E61" s="138"/>
      <c r="F61" s="138"/>
      <c r="G61" s="138"/>
      <c r="H61" s="138"/>
      <c r="I61" s="138"/>
      <c r="J61" s="138"/>
      <c r="K61" s="138"/>
      <c r="L61" s="138"/>
      <c r="M61" s="138"/>
      <c r="N61" s="138"/>
      <c r="O61" s="138"/>
      <c r="P61" s="138"/>
    </row>
    <row r="62" spans="2:22" x14ac:dyDescent="0.2">
      <c r="B62" s="138"/>
      <c r="C62" s="138"/>
      <c r="D62" s="138"/>
      <c r="E62" s="138"/>
      <c r="F62" s="138"/>
      <c r="G62" s="138"/>
      <c r="H62" s="138"/>
      <c r="I62" s="138"/>
      <c r="J62" s="138"/>
      <c r="K62" s="138"/>
      <c r="L62" s="138"/>
      <c r="M62" s="138"/>
      <c r="N62" s="138"/>
      <c r="O62" s="138"/>
      <c r="P62" s="138"/>
    </row>
    <row r="63" spans="2:22" x14ac:dyDescent="0.2">
      <c r="B63" s="138"/>
      <c r="C63" s="138"/>
      <c r="D63" s="138"/>
      <c r="E63" s="138"/>
      <c r="F63" s="138"/>
      <c r="G63" s="138"/>
      <c r="H63" s="138"/>
      <c r="I63" s="138"/>
      <c r="J63" s="138"/>
      <c r="K63" s="138"/>
      <c r="L63" s="138"/>
      <c r="M63" s="138"/>
      <c r="N63" s="138"/>
      <c r="O63" s="138"/>
      <c r="P63" s="138"/>
    </row>
    <row r="64" spans="2:22" x14ac:dyDescent="0.2">
      <c r="B64" s="138"/>
      <c r="C64" s="138"/>
      <c r="D64" s="138"/>
      <c r="E64" s="138"/>
      <c r="F64" s="138"/>
      <c r="G64" s="138"/>
      <c r="H64" s="138"/>
      <c r="I64" s="138"/>
      <c r="J64" s="138"/>
      <c r="K64" s="138"/>
      <c r="L64" s="138"/>
      <c r="M64" s="138"/>
      <c r="N64" s="138"/>
      <c r="O64" s="138"/>
      <c r="P64" s="138"/>
    </row>
    <row r="65" spans="2:16" x14ac:dyDescent="0.2">
      <c r="B65" s="138"/>
      <c r="C65" s="138"/>
      <c r="D65" s="138"/>
      <c r="E65" s="138"/>
      <c r="F65" s="138"/>
      <c r="G65" s="138"/>
      <c r="H65" s="138"/>
      <c r="I65" s="138"/>
      <c r="J65" s="138"/>
      <c r="K65" s="138"/>
      <c r="L65" s="138"/>
      <c r="M65" s="138"/>
      <c r="N65" s="138"/>
      <c r="O65" s="138"/>
      <c r="P65" s="138"/>
    </row>
    <row r="66" spans="2:16" x14ac:dyDescent="0.2">
      <c r="B66" s="138"/>
      <c r="C66" s="138"/>
      <c r="D66" s="138"/>
      <c r="E66" s="138"/>
      <c r="F66" s="138"/>
      <c r="G66" s="138"/>
      <c r="H66" s="138"/>
      <c r="I66" s="138"/>
      <c r="J66" s="138"/>
      <c r="K66" s="138"/>
      <c r="L66" s="138"/>
      <c r="M66" s="138"/>
      <c r="N66" s="138"/>
      <c r="O66" s="138"/>
      <c r="P66" s="138"/>
    </row>
    <row r="67" spans="2:16" x14ac:dyDescent="0.2">
      <c r="B67" s="340"/>
      <c r="C67" s="340"/>
      <c r="D67" s="340"/>
      <c r="E67" s="340"/>
      <c r="F67" s="340"/>
      <c r="G67" s="340"/>
      <c r="H67" s="340"/>
      <c r="I67" s="340"/>
      <c r="J67" s="340"/>
      <c r="K67" s="340"/>
      <c r="L67" s="340"/>
      <c r="M67" s="340"/>
      <c r="N67" s="340"/>
      <c r="O67" s="340"/>
      <c r="P67" s="340"/>
    </row>
    <row r="68" spans="2:16" x14ac:dyDescent="0.2">
      <c r="B68" s="340"/>
      <c r="C68" s="340"/>
      <c r="D68" s="340"/>
      <c r="E68" s="340"/>
      <c r="F68" s="340"/>
      <c r="G68" s="340"/>
      <c r="H68" s="340"/>
      <c r="I68" s="340"/>
      <c r="J68" s="340"/>
      <c r="K68" s="340"/>
      <c r="L68" s="340"/>
      <c r="M68" s="340"/>
      <c r="N68" s="340"/>
      <c r="O68" s="340"/>
      <c r="P68" s="340"/>
    </row>
    <row r="69" spans="2:16" x14ac:dyDescent="0.2">
      <c r="B69" s="340"/>
      <c r="C69" s="340"/>
      <c r="D69" s="340"/>
      <c r="E69" s="340"/>
      <c r="F69" s="340"/>
      <c r="G69" s="340"/>
      <c r="H69" s="340"/>
      <c r="I69" s="340"/>
      <c r="J69" s="340"/>
      <c r="K69" s="340"/>
      <c r="L69" s="340"/>
      <c r="M69" s="340"/>
      <c r="N69" s="340"/>
      <c r="O69" s="340"/>
      <c r="P69" s="340"/>
    </row>
    <row r="70" spans="2:16" x14ac:dyDescent="0.2">
      <c r="B70" s="340"/>
      <c r="C70" s="340"/>
      <c r="D70" s="340"/>
      <c r="E70" s="340"/>
      <c r="F70" s="340"/>
      <c r="G70" s="340"/>
      <c r="H70" s="340"/>
      <c r="I70" s="340"/>
      <c r="J70" s="340"/>
      <c r="K70" s="340"/>
      <c r="L70" s="340"/>
      <c r="M70" s="340"/>
      <c r="N70" s="340"/>
      <c r="O70" s="340"/>
      <c r="P70" s="340"/>
    </row>
    <row r="71" spans="2:16" x14ac:dyDescent="0.2">
      <c r="B71" s="340"/>
      <c r="C71" s="340"/>
      <c r="D71" s="340"/>
      <c r="E71" s="340"/>
      <c r="F71" s="340"/>
      <c r="G71" s="340"/>
      <c r="H71" s="340"/>
      <c r="I71" s="340"/>
      <c r="J71" s="340"/>
      <c r="K71" s="340"/>
      <c r="L71" s="340"/>
      <c r="M71" s="340"/>
      <c r="N71" s="340"/>
      <c r="O71" s="340"/>
      <c r="P71" s="340"/>
    </row>
    <row r="72" spans="2:16" x14ac:dyDescent="0.2">
      <c r="B72" s="340"/>
      <c r="C72" s="340"/>
      <c r="D72" s="340"/>
      <c r="E72" s="340"/>
      <c r="F72" s="340"/>
      <c r="G72" s="340"/>
      <c r="H72" s="340"/>
      <c r="I72" s="340"/>
      <c r="J72" s="340"/>
      <c r="K72" s="340"/>
      <c r="L72" s="340"/>
      <c r="M72" s="340"/>
      <c r="N72" s="340"/>
      <c r="O72" s="340"/>
      <c r="P72" s="340"/>
    </row>
    <row r="73" spans="2:16" x14ac:dyDescent="0.2">
      <c r="B73" s="340"/>
      <c r="C73" s="340"/>
      <c r="D73" s="340"/>
      <c r="E73" s="340"/>
      <c r="F73" s="340"/>
      <c r="G73" s="340"/>
      <c r="H73" s="340"/>
      <c r="I73" s="340"/>
      <c r="J73" s="340"/>
      <c r="K73" s="340"/>
      <c r="L73" s="340"/>
      <c r="M73" s="340"/>
      <c r="N73" s="340"/>
      <c r="O73" s="340"/>
      <c r="P73" s="340"/>
    </row>
    <row r="74" spans="2:16" x14ac:dyDescent="0.2">
      <c r="B74" s="340"/>
      <c r="C74" s="340"/>
      <c r="D74" s="340"/>
      <c r="E74" s="340"/>
      <c r="F74" s="340"/>
      <c r="G74" s="340"/>
      <c r="H74" s="340"/>
      <c r="I74" s="340"/>
      <c r="J74" s="340"/>
      <c r="K74" s="340"/>
      <c r="L74" s="340"/>
      <c r="M74" s="340"/>
      <c r="N74" s="340"/>
      <c r="O74" s="340"/>
      <c r="P74" s="340"/>
    </row>
    <row r="75" spans="2:16" x14ac:dyDescent="0.2">
      <c r="B75" s="340"/>
      <c r="C75" s="340"/>
      <c r="D75" s="340"/>
      <c r="E75" s="340"/>
      <c r="F75" s="340"/>
      <c r="G75" s="340"/>
      <c r="H75" s="340"/>
      <c r="I75" s="340"/>
      <c r="J75" s="340"/>
      <c r="K75" s="340"/>
      <c r="L75" s="340"/>
      <c r="M75" s="340"/>
      <c r="N75" s="340"/>
      <c r="O75" s="340"/>
      <c r="P75" s="340"/>
    </row>
    <row r="76" spans="2:16" x14ac:dyDescent="0.2">
      <c r="B76" s="340"/>
      <c r="C76" s="340"/>
      <c r="D76" s="340"/>
      <c r="E76" s="340"/>
      <c r="F76" s="340"/>
      <c r="G76" s="340"/>
      <c r="H76" s="340"/>
      <c r="I76" s="340"/>
      <c r="J76" s="340"/>
      <c r="K76" s="340"/>
      <c r="L76" s="340"/>
      <c r="M76" s="340"/>
      <c r="N76" s="340"/>
      <c r="O76" s="340"/>
      <c r="P76" s="340"/>
    </row>
    <row r="77" spans="2:16" x14ac:dyDescent="0.2">
      <c r="B77" s="340"/>
      <c r="C77" s="340"/>
      <c r="D77" s="340"/>
      <c r="E77" s="340"/>
      <c r="F77" s="340"/>
      <c r="G77" s="340"/>
      <c r="H77" s="340"/>
      <c r="I77" s="340"/>
      <c r="J77" s="340"/>
      <c r="K77" s="340"/>
      <c r="L77" s="340"/>
      <c r="M77" s="340"/>
      <c r="N77" s="340"/>
      <c r="O77" s="340"/>
      <c r="P77" s="340"/>
    </row>
    <row r="78" spans="2:16" x14ac:dyDescent="0.2">
      <c r="B78" s="340"/>
      <c r="C78" s="340"/>
      <c r="D78" s="340"/>
      <c r="E78" s="340"/>
      <c r="F78" s="340"/>
      <c r="G78" s="340"/>
      <c r="H78" s="340"/>
      <c r="I78" s="340"/>
      <c r="J78" s="340"/>
      <c r="K78" s="340"/>
      <c r="L78" s="340"/>
      <c r="M78" s="340"/>
      <c r="N78" s="340"/>
      <c r="O78" s="340"/>
      <c r="P78" s="340"/>
    </row>
    <row r="79" spans="2:16" x14ac:dyDescent="0.2">
      <c r="B79" s="340"/>
      <c r="C79" s="340"/>
      <c r="D79" s="340"/>
      <c r="E79" s="340"/>
      <c r="F79" s="340"/>
      <c r="G79" s="340"/>
      <c r="H79" s="340"/>
      <c r="I79" s="340"/>
      <c r="J79" s="340"/>
      <c r="K79" s="340"/>
      <c r="L79" s="340"/>
      <c r="M79" s="340"/>
      <c r="N79" s="340"/>
      <c r="O79" s="340"/>
      <c r="P79" s="340"/>
    </row>
    <row r="80" spans="2:16" x14ac:dyDescent="0.2">
      <c r="B80" s="340"/>
      <c r="C80" s="340"/>
      <c r="D80" s="340"/>
      <c r="E80" s="340"/>
      <c r="F80" s="340"/>
      <c r="G80" s="340"/>
      <c r="H80" s="340"/>
      <c r="I80" s="340"/>
      <c r="J80" s="340"/>
      <c r="K80" s="340"/>
      <c r="L80" s="340"/>
      <c r="M80" s="340"/>
      <c r="N80" s="340"/>
      <c r="O80" s="340"/>
      <c r="P80" s="340"/>
    </row>
    <row r="81" spans="2:16" x14ac:dyDescent="0.2">
      <c r="B81" s="340"/>
      <c r="C81" s="340"/>
      <c r="D81" s="340"/>
      <c r="E81" s="340"/>
      <c r="F81" s="340"/>
      <c r="G81" s="340"/>
      <c r="H81" s="340"/>
      <c r="I81" s="340"/>
      <c r="J81" s="340"/>
      <c r="K81" s="340"/>
      <c r="L81" s="340"/>
      <c r="M81" s="340"/>
      <c r="N81" s="340"/>
      <c r="O81" s="340"/>
      <c r="P81" s="340"/>
    </row>
    <row r="82" spans="2:16" x14ac:dyDescent="0.2">
      <c r="B82" s="340"/>
      <c r="C82" s="340"/>
      <c r="D82" s="340"/>
      <c r="E82" s="340"/>
      <c r="F82" s="340"/>
      <c r="G82" s="340"/>
      <c r="H82" s="340"/>
      <c r="I82" s="340"/>
      <c r="J82" s="340"/>
      <c r="K82" s="340"/>
      <c r="L82" s="340"/>
      <c r="M82" s="340"/>
      <c r="N82" s="340"/>
      <c r="O82" s="340"/>
      <c r="P82" s="340"/>
    </row>
    <row r="83" spans="2:16" x14ac:dyDescent="0.2">
      <c r="B83" s="340"/>
      <c r="C83" s="340"/>
      <c r="D83" s="340"/>
      <c r="E83" s="340"/>
      <c r="F83" s="340"/>
      <c r="G83" s="340"/>
      <c r="H83" s="340"/>
      <c r="I83" s="340"/>
      <c r="J83" s="340"/>
      <c r="K83" s="340"/>
      <c r="L83" s="340"/>
      <c r="M83" s="340"/>
      <c r="N83" s="340"/>
      <c r="O83" s="340"/>
      <c r="P83" s="340"/>
    </row>
    <row r="84" spans="2:16" x14ac:dyDescent="0.2">
      <c r="B84" s="340"/>
      <c r="C84" s="340"/>
      <c r="D84" s="340"/>
      <c r="E84" s="340"/>
      <c r="F84" s="340"/>
      <c r="G84" s="340"/>
      <c r="H84" s="340"/>
      <c r="I84" s="340"/>
      <c r="J84" s="340"/>
      <c r="K84" s="340"/>
      <c r="L84" s="340"/>
      <c r="M84" s="340"/>
      <c r="N84" s="340"/>
      <c r="O84" s="340"/>
      <c r="P84" s="340"/>
    </row>
    <row r="85" spans="2:16" x14ac:dyDescent="0.2">
      <c r="B85" s="340"/>
      <c r="C85" s="340"/>
      <c r="D85" s="340"/>
      <c r="E85" s="340"/>
      <c r="F85" s="340"/>
      <c r="G85" s="340"/>
      <c r="H85" s="340"/>
      <c r="I85" s="340"/>
      <c r="J85" s="340"/>
      <c r="K85" s="340"/>
      <c r="L85" s="340"/>
      <c r="M85" s="340"/>
      <c r="N85" s="340"/>
      <c r="O85" s="340"/>
      <c r="P85" s="340"/>
    </row>
    <row r="86" spans="2:16" x14ac:dyDescent="0.2">
      <c r="B86" s="340"/>
      <c r="C86" s="340"/>
      <c r="D86" s="340"/>
      <c r="E86" s="340"/>
      <c r="F86" s="340"/>
      <c r="G86" s="340"/>
      <c r="H86" s="340"/>
      <c r="I86" s="340"/>
      <c r="J86" s="340"/>
      <c r="K86" s="340"/>
      <c r="L86" s="340"/>
      <c r="M86" s="340"/>
      <c r="N86" s="340"/>
      <c r="O86" s="340"/>
      <c r="P86" s="340"/>
    </row>
    <row r="87" spans="2:16" x14ac:dyDescent="0.2">
      <c r="B87" s="340"/>
      <c r="C87" s="340"/>
      <c r="D87" s="340"/>
      <c r="E87" s="340"/>
      <c r="F87" s="340"/>
      <c r="G87" s="340"/>
      <c r="H87" s="340"/>
      <c r="I87" s="340"/>
      <c r="J87" s="340"/>
      <c r="K87" s="340"/>
      <c r="L87" s="340"/>
      <c r="M87" s="340"/>
      <c r="N87" s="340"/>
      <c r="O87" s="340"/>
      <c r="P87" s="340"/>
    </row>
    <row r="88" spans="2:16" x14ac:dyDescent="0.2">
      <c r="B88" s="340"/>
      <c r="C88" s="340"/>
      <c r="D88" s="340"/>
      <c r="E88" s="340"/>
      <c r="F88" s="340"/>
      <c r="G88" s="340"/>
      <c r="H88" s="340"/>
      <c r="I88" s="340"/>
      <c r="J88" s="340"/>
      <c r="K88" s="340"/>
      <c r="L88" s="340"/>
      <c r="M88" s="340"/>
      <c r="N88" s="340"/>
      <c r="O88" s="340"/>
      <c r="P88" s="340"/>
    </row>
    <row r="89" spans="2:16" x14ac:dyDescent="0.2">
      <c r="B89" s="340"/>
      <c r="C89" s="340"/>
      <c r="D89" s="340"/>
      <c r="E89" s="340"/>
      <c r="F89" s="340"/>
      <c r="G89" s="340"/>
      <c r="H89" s="340"/>
      <c r="I89" s="340"/>
      <c r="J89" s="340"/>
      <c r="K89" s="340"/>
      <c r="L89" s="340"/>
      <c r="M89" s="340"/>
      <c r="N89" s="340"/>
      <c r="O89" s="340"/>
      <c r="P89" s="340"/>
    </row>
    <row r="90" spans="2:16" x14ac:dyDescent="0.2">
      <c r="B90" s="340"/>
      <c r="C90" s="340"/>
      <c r="D90" s="340"/>
      <c r="E90" s="340"/>
      <c r="F90" s="340"/>
      <c r="G90" s="340"/>
      <c r="H90" s="340"/>
      <c r="I90" s="340"/>
      <c r="J90" s="340"/>
      <c r="K90" s="340"/>
      <c r="L90" s="340"/>
      <c r="M90" s="340"/>
      <c r="N90" s="340"/>
      <c r="O90" s="340"/>
      <c r="P90" s="340"/>
    </row>
    <row r="91" spans="2:16" x14ac:dyDescent="0.2">
      <c r="B91" s="340"/>
      <c r="C91" s="340"/>
      <c r="D91" s="340"/>
      <c r="E91" s="340"/>
      <c r="F91" s="340"/>
      <c r="G91" s="340"/>
      <c r="H91" s="340"/>
      <c r="I91" s="340"/>
      <c r="J91" s="340"/>
      <c r="K91" s="340"/>
      <c r="L91" s="340"/>
      <c r="M91" s="340"/>
      <c r="N91" s="340"/>
      <c r="O91" s="340"/>
      <c r="P91" s="340"/>
    </row>
    <row r="92" spans="2:16" x14ac:dyDescent="0.2">
      <c r="B92" s="340"/>
      <c r="C92" s="340"/>
      <c r="D92" s="340"/>
      <c r="E92" s="340"/>
      <c r="F92" s="340"/>
      <c r="G92" s="340"/>
      <c r="H92" s="340"/>
      <c r="I92" s="340"/>
      <c r="J92" s="340"/>
      <c r="K92" s="340"/>
      <c r="L92" s="340"/>
      <c r="M92" s="340"/>
      <c r="N92" s="340"/>
      <c r="O92" s="340"/>
      <c r="P92" s="340"/>
    </row>
    <row r="93" spans="2:16" x14ac:dyDescent="0.2">
      <c r="B93" s="340"/>
      <c r="C93" s="340"/>
      <c r="D93" s="340"/>
      <c r="E93" s="340"/>
      <c r="F93" s="340"/>
      <c r="G93" s="340"/>
      <c r="H93" s="340"/>
      <c r="I93" s="340"/>
      <c r="J93" s="340"/>
      <c r="K93" s="340"/>
      <c r="L93" s="340"/>
      <c r="M93" s="340"/>
      <c r="N93" s="340"/>
      <c r="O93" s="340"/>
      <c r="P93" s="340"/>
    </row>
    <row r="94" spans="2:16" x14ac:dyDescent="0.2">
      <c r="B94" s="340"/>
      <c r="C94" s="340"/>
      <c r="D94" s="340"/>
      <c r="E94" s="340"/>
      <c r="F94" s="340"/>
      <c r="G94" s="340"/>
      <c r="H94" s="340"/>
      <c r="I94" s="340"/>
      <c r="J94" s="340"/>
      <c r="K94" s="340"/>
      <c r="L94" s="340"/>
      <c r="M94" s="340"/>
      <c r="N94" s="340"/>
      <c r="O94" s="340"/>
      <c r="P94" s="340"/>
    </row>
    <row r="95" spans="2:16" x14ac:dyDescent="0.2">
      <c r="B95" s="340"/>
      <c r="C95" s="340"/>
      <c r="D95" s="340"/>
      <c r="E95" s="340"/>
      <c r="F95" s="340"/>
      <c r="G95" s="340"/>
      <c r="H95" s="340"/>
      <c r="I95" s="340"/>
      <c r="J95" s="340"/>
      <c r="K95" s="340"/>
      <c r="L95" s="340"/>
      <c r="M95" s="340"/>
      <c r="N95" s="340"/>
      <c r="O95" s="340"/>
      <c r="P95" s="340"/>
    </row>
    <row r="96" spans="2:16" x14ac:dyDescent="0.2">
      <c r="B96" s="340"/>
      <c r="C96" s="340"/>
      <c r="D96" s="340"/>
      <c r="E96" s="340"/>
      <c r="F96" s="340"/>
      <c r="G96" s="340"/>
      <c r="H96" s="340"/>
      <c r="I96" s="340"/>
      <c r="J96" s="340"/>
      <c r="K96" s="340"/>
      <c r="L96" s="340"/>
      <c r="M96" s="340"/>
      <c r="N96" s="340"/>
      <c r="O96" s="340"/>
      <c r="P96" s="340"/>
    </row>
    <row r="97" spans="2:16" x14ac:dyDescent="0.2">
      <c r="B97" s="340"/>
      <c r="C97" s="340"/>
      <c r="D97" s="340"/>
      <c r="E97" s="340"/>
      <c r="F97" s="340"/>
      <c r="G97" s="340"/>
      <c r="H97" s="340"/>
      <c r="I97" s="340"/>
      <c r="J97" s="340"/>
      <c r="K97" s="340"/>
      <c r="L97" s="340"/>
      <c r="M97" s="340"/>
      <c r="N97" s="340"/>
      <c r="O97" s="340"/>
      <c r="P97" s="340"/>
    </row>
    <row r="98" spans="2:16" x14ac:dyDescent="0.2">
      <c r="B98" s="340"/>
      <c r="C98" s="340"/>
      <c r="D98" s="340"/>
      <c r="E98" s="340"/>
      <c r="F98" s="340"/>
      <c r="G98" s="340"/>
      <c r="H98" s="340"/>
      <c r="I98" s="340"/>
      <c r="J98" s="340"/>
      <c r="K98" s="340"/>
      <c r="L98" s="340"/>
      <c r="M98" s="340"/>
      <c r="N98" s="340"/>
      <c r="O98" s="340"/>
      <c r="P98" s="340"/>
    </row>
    <row r="99" spans="2:16" x14ac:dyDescent="0.2">
      <c r="B99" s="340"/>
      <c r="C99" s="340"/>
      <c r="D99" s="340"/>
      <c r="E99" s="340"/>
      <c r="F99" s="340"/>
      <c r="G99" s="340"/>
      <c r="H99" s="340"/>
      <c r="I99" s="340"/>
      <c r="J99" s="340"/>
      <c r="K99" s="340"/>
      <c r="L99" s="340"/>
      <c r="M99" s="340"/>
      <c r="N99" s="340"/>
      <c r="O99" s="340"/>
      <c r="P99" s="340"/>
    </row>
    <row r="100" spans="2:16" x14ac:dyDescent="0.2">
      <c r="B100" s="340"/>
      <c r="C100" s="340"/>
      <c r="D100" s="340"/>
      <c r="E100" s="340"/>
      <c r="F100" s="340"/>
      <c r="G100" s="340"/>
      <c r="H100" s="340"/>
      <c r="I100" s="340"/>
      <c r="J100" s="340"/>
      <c r="K100" s="340"/>
      <c r="L100" s="340"/>
      <c r="M100" s="340"/>
      <c r="N100" s="340"/>
      <c r="O100" s="340"/>
      <c r="P100" s="340"/>
    </row>
    <row r="101" spans="2:16" x14ac:dyDescent="0.2">
      <c r="B101" s="340"/>
      <c r="C101" s="340"/>
      <c r="D101" s="340"/>
      <c r="E101" s="340"/>
      <c r="F101" s="340"/>
      <c r="G101" s="340"/>
      <c r="H101" s="340"/>
      <c r="I101" s="340"/>
      <c r="J101" s="340"/>
      <c r="K101" s="340"/>
      <c r="L101" s="340"/>
      <c r="M101" s="340"/>
      <c r="N101" s="340"/>
      <c r="O101" s="340"/>
      <c r="P101" s="340"/>
    </row>
    <row r="102" spans="2:16" x14ac:dyDescent="0.2">
      <c r="B102" s="340"/>
      <c r="C102" s="340"/>
      <c r="D102" s="340"/>
      <c r="E102" s="340"/>
      <c r="F102" s="340"/>
      <c r="G102" s="340"/>
      <c r="H102" s="340"/>
      <c r="I102" s="340"/>
      <c r="J102" s="340"/>
      <c r="K102" s="340"/>
      <c r="L102" s="340"/>
      <c r="M102" s="340"/>
      <c r="N102" s="340"/>
      <c r="O102" s="340"/>
      <c r="P102" s="340"/>
    </row>
    <row r="103" spans="2:16" x14ac:dyDescent="0.2">
      <c r="B103" s="340"/>
      <c r="C103" s="340"/>
      <c r="D103" s="340"/>
      <c r="E103" s="340"/>
      <c r="F103" s="340"/>
      <c r="G103" s="340"/>
      <c r="H103" s="340"/>
      <c r="I103" s="340"/>
      <c r="J103" s="340"/>
      <c r="K103" s="340"/>
      <c r="L103" s="340"/>
      <c r="M103" s="340"/>
      <c r="N103" s="340"/>
      <c r="O103" s="340"/>
      <c r="P103" s="340"/>
    </row>
    <row r="104" spans="2:16" x14ac:dyDescent="0.2">
      <c r="B104" s="340"/>
      <c r="C104" s="340"/>
      <c r="D104" s="340"/>
      <c r="E104" s="340"/>
      <c r="F104" s="340"/>
      <c r="G104" s="340"/>
      <c r="H104" s="340"/>
      <c r="I104" s="340"/>
      <c r="J104" s="340"/>
      <c r="K104" s="340"/>
      <c r="L104" s="340"/>
      <c r="M104" s="340"/>
      <c r="N104" s="340"/>
      <c r="O104" s="340"/>
      <c r="P104" s="340"/>
    </row>
    <row r="105" spans="2:16" x14ac:dyDescent="0.2">
      <c r="B105" s="340"/>
      <c r="C105" s="340"/>
      <c r="D105" s="340"/>
      <c r="E105" s="340"/>
      <c r="F105" s="340"/>
      <c r="G105" s="340"/>
      <c r="H105" s="340"/>
      <c r="I105" s="340"/>
      <c r="J105" s="340"/>
      <c r="K105" s="340"/>
      <c r="L105" s="340"/>
      <c r="M105" s="340"/>
      <c r="N105" s="340"/>
      <c r="O105" s="340"/>
      <c r="P105" s="340"/>
    </row>
  </sheetData>
  <mergeCells count="2">
    <mergeCell ref="B2:V60"/>
    <mergeCell ref="B67:P105"/>
  </mergeCells>
  <phoneticPr fontId="10" type="noConversion"/>
  <pageMargins left="0.35433070866141736" right="0.27559055118110237" top="1.299212598425197" bottom="0.62992125984251968" header="0.27559055118110237" footer="0.27559055118110237"/>
  <pageSetup paperSize="8" scale="52" orientation="landscape" horizontalDpi="300" verticalDpi="300" r:id="rId1"/>
  <headerFooter alignWithMargins="0">
    <oddHeader>&amp;L&amp;G&amp;CFRM-IHS-SAF-100
Refer to SPR-IHS-SAF-044 - WAIO Risk Management Procedure&amp;RBHP Billiton Iron Ore
&amp;"Arial,Bold"WAIO Health &amp; Safety</oddHeader>
    <oddFooter>&amp;L&amp;8Form No: FRM-IHS-SAF-100
Issue No: 14.0 
Issue Date: 03/07/2014&amp;R&amp;8Page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2"/>
  <sheetViews>
    <sheetView showGridLines="0" view="pageLayout" zoomScaleNormal="85" workbookViewId="0">
      <selection activeCell="Q26" sqref="Q26:Z26"/>
    </sheetView>
  </sheetViews>
  <sheetFormatPr defaultColWidth="8" defaultRowHeight="10.5" x14ac:dyDescent="0.15"/>
  <cols>
    <col min="1" max="1" width="3.7109375" style="63" customWidth="1"/>
    <col min="2" max="2" width="5.140625" style="63" customWidth="1"/>
    <col min="3" max="3" width="18.140625" style="63" customWidth="1"/>
    <col min="4" max="4" width="1.42578125" style="63" customWidth="1"/>
    <col min="5" max="5" width="15.140625" style="63" customWidth="1"/>
    <col min="6" max="6" width="16.42578125" style="63" customWidth="1"/>
    <col min="7" max="7" width="1.5703125" style="63" customWidth="1"/>
    <col min="8" max="8" width="7.140625" style="63" customWidth="1"/>
    <col min="9" max="9" width="13.7109375" style="63" customWidth="1"/>
    <col min="10" max="10" width="15.5703125" style="63" customWidth="1"/>
    <col min="11" max="11" width="13.85546875" style="63" customWidth="1"/>
    <col min="12" max="12" width="4.42578125" style="63" customWidth="1"/>
    <col min="13" max="13" width="1.7109375" style="63" customWidth="1"/>
    <col min="14" max="14" width="17.42578125" style="63" customWidth="1"/>
    <col min="15" max="15" width="1.42578125" style="63" customWidth="1"/>
    <col min="16" max="16" width="3.85546875" style="63" customWidth="1"/>
    <col min="17" max="17" width="14.140625" style="63" customWidth="1"/>
    <col min="18" max="18" width="1.85546875" style="63" customWidth="1"/>
    <col min="19" max="19" width="4" style="63" bestFit="1" customWidth="1"/>
    <col min="20" max="20" width="7.28515625" style="63" customWidth="1"/>
    <col min="21" max="21" width="28.28515625" style="63" customWidth="1"/>
    <col min="22" max="22" width="7" style="63" customWidth="1"/>
    <col min="23" max="23" width="3" style="63" customWidth="1"/>
    <col min="24" max="24" width="3.28515625" style="63" customWidth="1"/>
    <col min="25" max="25" width="7.5703125" style="63" customWidth="1"/>
    <col min="26" max="26" width="4.85546875" style="63" customWidth="1"/>
    <col min="27" max="27" width="16.7109375" style="63" customWidth="1"/>
    <col min="28" max="28" width="12.42578125" style="63" customWidth="1"/>
    <col min="29" max="29" width="17.85546875" style="63" customWidth="1"/>
    <col min="30" max="30" width="4.5703125" style="63" customWidth="1"/>
    <col min="31" max="31" width="8.28515625" style="63" customWidth="1"/>
    <col min="32" max="33" width="8" style="63" customWidth="1"/>
    <col min="34" max="34" width="10.28515625" style="63" bestFit="1" customWidth="1"/>
    <col min="35" max="36" width="23.140625" style="63" customWidth="1"/>
    <col min="37" max="37" width="23" style="63" customWidth="1"/>
    <col min="38" max="16384" width="8" style="63"/>
  </cols>
  <sheetData>
    <row r="1" spans="1:30" ht="28.5" customHeight="1" thickBot="1" x14ac:dyDescent="0.25">
      <c r="A1" s="60"/>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2"/>
    </row>
    <row r="2" spans="1:30" ht="24" thickBot="1" x14ac:dyDescent="0.4">
      <c r="A2" s="64"/>
      <c r="B2" s="437" t="s">
        <v>66</v>
      </c>
      <c r="C2" s="438"/>
      <c r="D2" s="439"/>
      <c r="E2" s="440"/>
      <c r="F2" s="440"/>
      <c r="G2" s="440"/>
      <c r="H2" s="441"/>
      <c r="I2" s="65"/>
      <c r="J2" s="65"/>
      <c r="K2" s="65"/>
      <c r="L2" s="65"/>
      <c r="M2" s="65"/>
      <c r="N2" s="66"/>
      <c r="O2" s="67" t="s">
        <v>67</v>
      </c>
      <c r="P2" s="67"/>
      <c r="Q2" s="67"/>
      <c r="R2" s="65"/>
      <c r="S2" s="65"/>
      <c r="T2" s="65"/>
      <c r="U2" s="65"/>
      <c r="V2" s="65"/>
      <c r="W2" s="65"/>
      <c r="X2" s="65"/>
      <c r="Y2" s="65"/>
      <c r="Z2" s="65"/>
      <c r="AA2" s="68" t="s">
        <v>68</v>
      </c>
      <c r="AB2" s="442"/>
      <c r="AC2" s="368"/>
      <c r="AD2" s="69"/>
    </row>
    <row r="3" spans="1:30" ht="24" thickBot="1" x14ac:dyDescent="0.4">
      <c r="A3" s="64"/>
      <c r="I3" s="65"/>
      <c r="J3" s="65"/>
      <c r="K3" s="65"/>
      <c r="L3" s="65"/>
      <c r="M3" s="65"/>
      <c r="N3" s="70"/>
      <c r="O3" s="71"/>
      <c r="P3" s="72"/>
      <c r="Q3" s="72"/>
      <c r="R3" s="65"/>
      <c r="S3" s="65"/>
      <c r="T3" s="65"/>
      <c r="U3" s="65"/>
      <c r="V3" s="65"/>
      <c r="W3" s="65"/>
      <c r="X3" s="65"/>
      <c r="Y3" s="65"/>
      <c r="Z3" s="65"/>
      <c r="AD3" s="69"/>
    </row>
    <row r="4" spans="1:30" ht="24" thickBot="1" x14ac:dyDescent="0.4">
      <c r="A4" s="64"/>
      <c r="B4" s="437" t="s">
        <v>69</v>
      </c>
      <c r="C4" s="438"/>
      <c r="D4" s="399" t="s">
        <v>70</v>
      </c>
      <c r="E4" s="367"/>
      <c r="F4" s="367"/>
      <c r="G4" s="367"/>
      <c r="H4" s="368"/>
      <c r="I4" s="65"/>
      <c r="J4" s="65"/>
      <c r="K4" s="65"/>
      <c r="L4" s="65"/>
      <c r="M4" s="65"/>
      <c r="N4" s="70"/>
      <c r="O4" s="73"/>
      <c r="P4" s="72"/>
      <c r="Q4" s="72"/>
      <c r="R4" s="65"/>
      <c r="S4" s="65"/>
      <c r="T4" s="65"/>
      <c r="U4" s="65"/>
      <c r="V4" s="65"/>
      <c r="W4" s="437" t="s">
        <v>71</v>
      </c>
      <c r="X4" s="443"/>
      <c r="Y4" s="444"/>
      <c r="Z4" s="445"/>
      <c r="AA4" s="74"/>
      <c r="AB4" s="75"/>
      <c r="AC4" s="76"/>
      <c r="AD4" s="69"/>
    </row>
    <row r="5" spans="1:30" ht="12.75" customHeight="1" x14ac:dyDescent="0.2">
      <c r="A5" s="64"/>
      <c r="B5" s="65"/>
      <c r="C5" s="65"/>
      <c r="D5" s="65"/>
      <c r="E5" s="65"/>
      <c r="F5" s="65"/>
      <c r="G5" s="65"/>
      <c r="H5" s="65"/>
      <c r="I5" s="65"/>
      <c r="J5" s="416" t="s">
        <v>72</v>
      </c>
      <c r="K5" s="417"/>
      <c r="L5" s="417"/>
      <c r="M5" s="417"/>
      <c r="N5" s="418"/>
      <c r="O5" s="422" t="s">
        <v>73</v>
      </c>
      <c r="P5" s="423"/>
      <c r="Q5" s="423"/>
      <c r="R5" s="423"/>
      <c r="S5" s="423"/>
      <c r="T5" s="423"/>
      <c r="U5" s="424"/>
      <c r="V5" s="65"/>
      <c r="W5" s="65"/>
      <c r="X5" s="65"/>
      <c r="Y5" s="65"/>
      <c r="Z5" s="65"/>
      <c r="AA5" s="65"/>
      <c r="AB5" s="65"/>
      <c r="AC5" s="65"/>
      <c r="AD5" s="69"/>
    </row>
    <row r="6" spans="1:30" ht="23.25" customHeight="1" thickBot="1" x14ac:dyDescent="0.25">
      <c r="A6" s="64"/>
      <c r="B6" s="65"/>
      <c r="C6" s="65"/>
      <c r="D6" s="65"/>
      <c r="E6" s="65"/>
      <c r="F6" s="65"/>
      <c r="G6" s="65"/>
      <c r="H6" s="65"/>
      <c r="I6" s="65"/>
      <c r="J6" s="419"/>
      <c r="K6" s="420"/>
      <c r="L6" s="420"/>
      <c r="M6" s="420"/>
      <c r="N6" s="421"/>
      <c r="O6" s="425"/>
      <c r="P6" s="426"/>
      <c r="Q6" s="426"/>
      <c r="R6" s="426"/>
      <c r="S6" s="426"/>
      <c r="T6" s="426"/>
      <c r="U6" s="427"/>
      <c r="V6" s="65"/>
      <c r="W6" s="65"/>
      <c r="X6" s="65"/>
      <c r="Y6" s="65"/>
      <c r="Z6" s="65"/>
      <c r="AA6" s="65"/>
      <c r="AB6" s="65"/>
      <c r="AC6" s="65"/>
      <c r="AD6" s="69"/>
    </row>
    <row r="7" spans="1:30" ht="30" customHeight="1" thickBot="1" x14ac:dyDescent="0.25">
      <c r="A7" s="64"/>
      <c r="B7" s="428" t="s">
        <v>74</v>
      </c>
      <c r="C7" s="429"/>
      <c r="D7" s="429"/>
      <c r="E7" s="429"/>
      <c r="F7" s="429"/>
      <c r="G7" s="429"/>
      <c r="H7" s="430"/>
      <c r="I7" s="65"/>
      <c r="J7" s="65"/>
      <c r="K7" s="70"/>
      <c r="L7" s="70"/>
      <c r="M7" s="70"/>
      <c r="N7" s="70"/>
      <c r="O7" s="70"/>
      <c r="P7" s="70"/>
      <c r="Q7" s="70"/>
      <c r="R7" s="70"/>
      <c r="S7" s="70"/>
      <c r="T7" s="65"/>
      <c r="U7" s="65"/>
      <c r="V7" s="65"/>
      <c r="W7" s="65"/>
      <c r="X7" s="431" t="s">
        <v>75</v>
      </c>
      <c r="Y7" s="432"/>
      <c r="Z7" s="432"/>
      <c r="AA7" s="432"/>
      <c r="AB7" s="432"/>
      <c r="AC7" s="433"/>
      <c r="AD7" s="69"/>
    </row>
    <row r="8" spans="1:30" ht="27.75" customHeight="1" x14ac:dyDescent="0.2">
      <c r="A8" s="64"/>
      <c r="B8" s="134">
        <v>1</v>
      </c>
      <c r="C8" s="389" t="s">
        <v>76</v>
      </c>
      <c r="D8" s="390"/>
      <c r="E8" s="390"/>
      <c r="F8" s="390"/>
      <c r="G8" s="390"/>
      <c r="H8" s="390"/>
      <c r="I8" s="65"/>
      <c r="J8" s="65"/>
      <c r="K8" s="65"/>
      <c r="L8" s="65"/>
      <c r="M8" s="65"/>
      <c r="N8" s="77"/>
      <c r="O8" s="77"/>
      <c r="P8" s="77"/>
      <c r="Q8" s="77"/>
      <c r="R8" s="65"/>
      <c r="S8" s="65"/>
      <c r="T8" s="65"/>
      <c r="U8" s="65"/>
      <c r="V8" s="65"/>
      <c r="W8" s="65"/>
      <c r="X8" s="78">
        <v>1</v>
      </c>
      <c r="Y8" s="434" t="s">
        <v>77</v>
      </c>
      <c r="Z8" s="435"/>
      <c r="AA8" s="435"/>
      <c r="AB8" s="435"/>
      <c r="AC8" s="436"/>
      <c r="AD8" s="69"/>
    </row>
    <row r="9" spans="1:30" ht="24.75" customHeight="1" x14ac:dyDescent="0.2">
      <c r="A9" s="64"/>
      <c r="B9" s="134">
        <v>2</v>
      </c>
      <c r="C9" s="389" t="s">
        <v>78</v>
      </c>
      <c r="D9" s="390"/>
      <c r="E9" s="390"/>
      <c r="F9" s="390"/>
      <c r="G9" s="390"/>
      <c r="H9" s="390"/>
      <c r="I9" s="65"/>
      <c r="J9" s="65"/>
      <c r="K9" s="65"/>
      <c r="L9" s="65"/>
      <c r="M9" s="65"/>
      <c r="N9" s="414"/>
      <c r="O9" s="414"/>
      <c r="P9" s="414"/>
      <c r="Q9" s="414"/>
      <c r="R9" s="65"/>
      <c r="S9" s="65"/>
      <c r="T9" s="65"/>
      <c r="U9" s="65"/>
      <c r="V9" s="65"/>
      <c r="W9" s="65"/>
      <c r="X9" s="78">
        <v>2</v>
      </c>
      <c r="Y9" s="415" t="s">
        <v>79</v>
      </c>
      <c r="Z9" s="415"/>
      <c r="AA9" s="415"/>
      <c r="AB9" s="415"/>
      <c r="AC9" s="415"/>
      <c r="AD9" s="69"/>
    </row>
    <row r="10" spans="1:30" ht="20.25" customHeight="1" x14ac:dyDescent="0.2">
      <c r="A10" s="64"/>
      <c r="B10" s="134">
        <v>3</v>
      </c>
      <c r="C10" s="389" t="s">
        <v>123</v>
      </c>
      <c r="D10" s="390"/>
      <c r="E10" s="390"/>
      <c r="F10" s="390"/>
      <c r="G10" s="390"/>
      <c r="H10" s="390"/>
      <c r="I10" s="65"/>
      <c r="J10" s="65"/>
      <c r="K10" s="65"/>
      <c r="L10" s="65"/>
      <c r="M10" s="65"/>
      <c r="N10" s="414"/>
      <c r="O10" s="414"/>
      <c r="P10" s="414"/>
      <c r="Q10" s="414"/>
      <c r="R10" s="65"/>
      <c r="S10" s="65"/>
      <c r="T10" s="65"/>
      <c r="U10" s="65"/>
      <c r="V10" s="65"/>
      <c r="W10" s="65"/>
      <c r="X10" s="78">
        <v>3</v>
      </c>
      <c r="Y10" s="415" t="s">
        <v>80</v>
      </c>
      <c r="Z10" s="415"/>
      <c r="AA10" s="415"/>
      <c r="AB10" s="415"/>
      <c r="AC10" s="415"/>
      <c r="AD10" s="69"/>
    </row>
    <row r="11" spans="1:30" ht="24.75" customHeight="1" x14ac:dyDescent="0.2">
      <c r="A11" s="64"/>
      <c r="B11" s="134">
        <v>4</v>
      </c>
      <c r="C11" s="389" t="s">
        <v>81</v>
      </c>
      <c r="D11" s="390"/>
      <c r="E11" s="390"/>
      <c r="F11" s="390"/>
      <c r="G11" s="390"/>
      <c r="H11" s="390"/>
      <c r="I11" s="65"/>
      <c r="J11" s="65"/>
      <c r="K11" s="65"/>
      <c r="L11" s="65"/>
      <c r="M11" s="65"/>
      <c r="N11" s="414"/>
      <c r="O11" s="414"/>
      <c r="P11" s="414"/>
      <c r="Q11" s="414"/>
      <c r="R11" s="65"/>
      <c r="S11" s="65"/>
      <c r="T11" s="65"/>
      <c r="U11" s="65"/>
      <c r="V11" s="65"/>
      <c r="W11" s="65"/>
      <c r="X11" s="78">
        <v>4</v>
      </c>
      <c r="Y11" s="412"/>
      <c r="Z11" s="412"/>
      <c r="AA11" s="412"/>
      <c r="AB11" s="412"/>
      <c r="AC11" s="412"/>
      <c r="AD11" s="69"/>
    </row>
    <row r="12" spans="1:30" ht="24.75" customHeight="1" x14ac:dyDescent="0.2">
      <c r="A12" s="64"/>
      <c r="B12" s="134">
        <v>5</v>
      </c>
      <c r="C12" s="389" t="s">
        <v>82</v>
      </c>
      <c r="D12" s="390"/>
      <c r="E12" s="390"/>
      <c r="F12" s="390"/>
      <c r="G12" s="390"/>
      <c r="H12" s="390"/>
      <c r="I12" s="65"/>
      <c r="J12" s="65"/>
      <c r="K12" s="65"/>
      <c r="L12" s="65"/>
      <c r="M12" s="65"/>
      <c r="N12" s="414"/>
      <c r="O12" s="414"/>
      <c r="P12" s="414"/>
      <c r="Q12" s="414"/>
      <c r="R12" s="65"/>
      <c r="S12" s="65"/>
      <c r="T12" s="65"/>
      <c r="U12" s="65"/>
      <c r="V12" s="65"/>
      <c r="W12" s="65"/>
      <c r="X12" s="78">
        <v>5</v>
      </c>
      <c r="Y12" s="412"/>
      <c r="Z12" s="412"/>
      <c r="AA12" s="412"/>
      <c r="AB12" s="412"/>
      <c r="AC12" s="412"/>
      <c r="AD12" s="69"/>
    </row>
    <row r="13" spans="1:30" ht="23.25" customHeight="1" x14ac:dyDescent="0.2">
      <c r="A13" s="64"/>
      <c r="B13" s="134">
        <v>6</v>
      </c>
      <c r="C13" s="389" t="s">
        <v>83</v>
      </c>
      <c r="D13" s="390"/>
      <c r="E13" s="390"/>
      <c r="F13" s="390"/>
      <c r="G13" s="390"/>
      <c r="H13" s="390"/>
      <c r="I13" s="65"/>
      <c r="J13" s="65"/>
      <c r="K13" s="65"/>
      <c r="L13" s="65"/>
      <c r="M13" s="65"/>
      <c r="N13" s="79"/>
      <c r="O13" s="79"/>
      <c r="P13" s="79"/>
      <c r="Q13" s="79"/>
      <c r="R13" s="65"/>
      <c r="S13" s="65"/>
      <c r="T13" s="65"/>
      <c r="U13" s="65"/>
      <c r="V13" s="65"/>
      <c r="W13" s="65"/>
      <c r="X13" s="78">
        <v>6</v>
      </c>
      <c r="Y13" s="412"/>
      <c r="Z13" s="412"/>
      <c r="AA13" s="412"/>
      <c r="AB13" s="412"/>
      <c r="AC13" s="412"/>
      <c r="AD13" s="69"/>
    </row>
    <row r="14" spans="1:30" ht="27.75" customHeight="1" x14ac:dyDescent="0.2">
      <c r="A14" s="64"/>
      <c r="B14" s="134">
        <v>7</v>
      </c>
      <c r="C14" s="389" t="s">
        <v>84</v>
      </c>
      <c r="D14" s="390"/>
      <c r="E14" s="390"/>
      <c r="F14" s="390"/>
      <c r="G14" s="390"/>
      <c r="H14" s="390"/>
      <c r="I14" s="65"/>
      <c r="J14" s="65"/>
      <c r="K14" s="65"/>
      <c r="L14" s="65"/>
      <c r="M14" s="65"/>
      <c r="N14" s="79"/>
      <c r="O14" s="79"/>
      <c r="P14" s="79"/>
      <c r="Q14" s="79"/>
      <c r="R14" s="65"/>
      <c r="S14" s="65"/>
      <c r="T14" s="65"/>
      <c r="U14" s="65"/>
      <c r="V14" s="65"/>
      <c r="W14" s="65"/>
      <c r="X14" s="78">
        <v>7</v>
      </c>
      <c r="Y14" s="412"/>
      <c r="Z14" s="412"/>
      <c r="AA14" s="412"/>
      <c r="AB14" s="412"/>
      <c r="AC14" s="412"/>
      <c r="AD14" s="69"/>
    </row>
    <row r="15" spans="1:30" ht="23.25" customHeight="1" x14ac:dyDescent="0.2">
      <c r="A15" s="64"/>
      <c r="B15" s="134">
        <v>8</v>
      </c>
      <c r="C15" s="389" t="s">
        <v>85</v>
      </c>
      <c r="D15" s="390"/>
      <c r="E15" s="390"/>
      <c r="F15" s="390"/>
      <c r="G15" s="390"/>
      <c r="H15" s="390"/>
      <c r="I15" s="65"/>
      <c r="U15" s="65"/>
      <c r="V15" s="65"/>
      <c r="W15" s="65"/>
      <c r="X15" s="78">
        <v>8</v>
      </c>
      <c r="Y15" s="412"/>
      <c r="Z15" s="412"/>
      <c r="AA15" s="412"/>
      <c r="AB15" s="412"/>
      <c r="AC15" s="412"/>
      <c r="AD15" s="69"/>
    </row>
    <row r="16" spans="1:30" ht="34.5" customHeight="1" thickBot="1" x14ac:dyDescent="0.25">
      <c r="A16" s="64"/>
      <c r="B16" s="134">
        <v>9</v>
      </c>
      <c r="C16" s="389" t="s">
        <v>86</v>
      </c>
      <c r="D16" s="390"/>
      <c r="E16" s="390"/>
      <c r="F16" s="390"/>
      <c r="G16" s="390"/>
      <c r="H16" s="390"/>
      <c r="I16" s="65"/>
      <c r="U16" s="65"/>
      <c r="V16" s="65"/>
      <c r="W16" s="65"/>
      <c r="X16" s="78">
        <v>9</v>
      </c>
      <c r="Y16" s="412"/>
      <c r="Z16" s="412"/>
      <c r="AA16" s="412"/>
      <c r="AB16" s="412"/>
      <c r="AC16" s="412"/>
      <c r="AD16" s="69"/>
    </row>
    <row r="17" spans="1:30" ht="23.25" customHeight="1" thickBot="1" x14ac:dyDescent="0.25">
      <c r="A17" s="64"/>
      <c r="B17" s="134">
        <v>10</v>
      </c>
      <c r="C17" s="389" t="s">
        <v>87</v>
      </c>
      <c r="D17" s="390"/>
      <c r="E17" s="390"/>
      <c r="F17" s="390"/>
      <c r="G17" s="390"/>
      <c r="H17" s="390"/>
      <c r="I17" s="65"/>
      <c r="K17" s="405" t="s">
        <v>88</v>
      </c>
      <c r="L17" s="413"/>
      <c r="M17" s="406"/>
      <c r="N17" s="80">
        <v>1</v>
      </c>
      <c r="O17" s="81"/>
      <c r="P17" s="399" t="s">
        <v>89</v>
      </c>
      <c r="Q17" s="367"/>
      <c r="R17" s="367"/>
      <c r="S17" s="367"/>
      <c r="T17" s="368"/>
      <c r="U17" s="65"/>
      <c r="V17" s="65"/>
      <c r="W17" s="65"/>
      <c r="X17" s="78">
        <v>10</v>
      </c>
      <c r="Y17" s="412"/>
      <c r="Z17" s="412"/>
      <c r="AA17" s="412"/>
      <c r="AB17" s="412"/>
      <c r="AC17" s="412"/>
      <c r="AD17" s="69"/>
    </row>
    <row r="18" spans="1:30" ht="24.75" customHeight="1" x14ac:dyDescent="0.2">
      <c r="A18" s="64"/>
      <c r="B18" s="134">
        <v>11</v>
      </c>
      <c r="C18" s="389" t="s">
        <v>90</v>
      </c>
      <c r="D18" s="390"/>
      <c r="E18" s="390"/>
      <c r="F18" s="390"/>
      <c r="G18" s="390"/>
      <c r="H18" s="390"/>
      <c r="I18" s="65"/>
      <c r="J18" s="65"/>
      <c r="K18" s="402" t="s">
        <v>91</v>
      </c>
      <c r="L18" s="403"/>
      <c r="M18" s="404"/>
      <c r="N18" s="82">
        <v>30</v>
      </c>
      <c r="P18" s="405" t="s">
        <v>92</v>
      </c>
      <c r="Q18" s="406"/>
      <c r="R18" s="407">
        <v>1</v>
      </c>
      <c r="S18" s="408"/>
      <c r="T18" s="409"/>
      <c r="U18" s="65"/>
      <c r="V18" s="65"/>
      <c r="W18" s="65"/>
      <c r="X18" s="65"/>
      <c r="Y18" s="65"/>
      <c r="Z18" s="65"/>
      <c r="AA18" s="65"/>
      <c r="AB18" s="65"/>
      <c r="AC18" s="65"/>
      <c r="AD18" s="69"/>
    </row>
    <row r="19" spans="1:30" ht="24" customHeight="1" thickBot="1" x14ac:dyDescent="0.25">
      <c r="A19" s="64"/>
      <c r="B19" s="134">
        <v>12</v>
      </c>
      <c r="C19" s="389"/>
      <c r="D19" s="390"/>
      <c r="E19" s="390"/>
      <c r="F19" s="390"/>
      <c r="G19" s="390"/>
      <c r="H19" s="390"/>
      <c r="I19" s="65"/>
      <c r="J19" s="65"/>
      <c r="K19" s="83" t="s">
        <v>23</v>
      </c>
      <c r="L19" s="84"/>
      <c r="M19" s="85"/>
      <c r="N19" s="86">
        <f>N17*N18</f>
        <v>30</v>
      </c>
      <c r="O19" s="65"/>
      <c r="P19" s="83"/>
      <c r="Q19" s="85" t="s">
        <v>93</v>
      </c>
      <c r="R19" s="83">
        <v>50</v>
      </c>
      <c r="S19" s="410">
        <v>50</v>
      </c>
      <c r="T19" s="411"/>
      <c r="U19" s="65"/>
      <c r="V19" s="65"/>
      <c r="W19" s="65"/>
      <c r="X19" s="65"/>
      <c r="Y19" s="65"/>
      <c r="Z19" s="65"/>
      <c r="AA19" s="65"/>
      <c r="AB19" s="65"/>
      <c r="AC19" s="65"/>
      <c r="AD19" s="69"/>
    </row>
    <row r="20" spans="1:30" ht="20.25" customHeight="1" x14ac:dyDescent="0.2">
      <c r="A20" s="64"/>
      <c r="B20" s="134"/>
      <c r="C20" s="389"/>
      <c r="D20" s="390"/>
      <c r="E20" s="390"/>
      <c r="F20" s="390"/>
      <c r="G20" s="390"/>
      <c r="H20" s="390"/>
      <c r="I20" s="65"/>
      <c r="J20" s="65"/>
      <c r="K20" s="65"/>
      <c r="L20" s="65"/>
      <c r="M20" s="65"/>
      <c r="N20" s="65"/>
      <c r="O20" s="65"/>
      <c r="P20" s="65"/>
      <c r="Q20" s="65"/>
      <c r="R20" s="65"/>
      <c r="S20" s="65"/>
      <c r="T20" s="65"/>
      <c r="U20" s="65"/>
      <c r="V20" s="65"/>
      <c r="W20" s="65"/>
      <c r="X20" s="65"/>
      <c r="Y20" s="65"/>
      <c r="Z20" s="65"/>
      <c r="AA20" s="65"/>
      <c r="AB20" s="65"/>
      <c r="AC20" s="65"/>
      <c r="AD20" s="69"/>
    </row>
    <row r="21" spans="1:30" ht="18" customHeight="1" thickBot="1" x14ac:dyDescent="0.25">
      <c r="A21" s="64"/>
      <c r="B21" s="134"/>
      <c r="C21" s="391"/>
      <c r="D21" s="392"/>
      <c r="E21" s="392"/>
      <c r="F21" s="392"/>
      <c r="G21" s="392"/>
      <c r="H21" s="392"/>
      <c r="I21" s="65"/>
      <c r="J21" s="65"/>
      <c r="K21" s="65"/>
      <c r="L21" s="65"/>
      <c r="M21" s="65"/>
      <c r="N21" s="65"/>
      <c r="O21" s="65"/>
      <c r="P21" s="65"/>
      <c r="Q21" s="65"/>
      <c r="R21" s="65"/>
      <c r="S21" s="65"/>
      <c r="T21" s="65"/>
      <c r="U21" s="65"/>
      <c r="V21" s="65"/>
      <c r="W21" s="65"/>
      <c r="X21" s="65"/>
      <c r="Y21" s="65"/>
      <c r="Z21" s="65"/>
      <c r="AA21" s="65"/>
      <c r="AB21" s="65"/>
      <c r="AC21" s="65"/>
      <c r="AD21" s="69"/>
    </row>
    <row r="22" spans="1:30" ht="36" customHeight="1" thickBot="1" x14ac:dyDescent="0.2">
      <c r="A22" s="64"/>
      <c r="B22" s="393" t="s">
        <v>94</v>
      </c>
      <c r="C22" s="394"/>
      <c r="D22" s="394"/>
      <c r="E22" s="394"/>
      <c r="F22" s="394"/>
      <c r="G22" s="394"/>
      <c r="H22" s="394"/>
      <c r="I22" s="395"/>
      <c r="J22" s="87" t="s">
        <v>95</v>
      </c>
      <c r="K22" s="88" t="s">
        <v>96</v>
      </c>
      <c r="L22" s="396" t="s">
        <v>97</v>
      </c>
      <c r="M22" s="397"/>
      <c r="N22" s="398"/>
      <c r="O22" s="70"/>
      <c r="P22" s="399" t="s">
        <v>98</v>
      </c>
      <c r="Q22" s="400"/>
      <c r="R22" s="400"/>
      <c r="S22" s="400"/>
      <c r="T22" s="400"/>
      <c r="U22" s="400"/>
      <c r="V22" s="400"/>
      <c r="W22" s="400"/>
      <c r="X22" s="400"/>
      <c r="Y22" s="400"/>
      <c r="Z22" s="395"/>
      <c r="AA22" s="89" t="s">
        <v>99</v>
      </c>
      <c r="AB22" s="87" t="s">
        <v>96</v>
      </c>
      <c r="AC22" s="90" t="s">
        <v>97</v>
      </c>
      <c r="AD22" s="69"/>
    </row>
    <row r="23" spans="1:30" ht="27.75" customHeight="1" x14ac:dyDescent="0.2">
      <c r="A23" s="64"/>
      <c r="B23" s="91">
        <v>1</v>
      </c>
      <c r="C23" s="387" t="s">
        <v>100</v>
      </c>
      <c r="D23" s="387"/>
      <c r="E23" s="387"/>
      <c r="F23" s="387"/>
      <c r="G23" s="387"/>
      <c r="H23" s="387"/>
      <c r="I23" s="387"/>
      <c r="J23" s="92" t="s">
        <v>115</v>
      </c>
      <c r="K23" s="93" t="s">
        <v>101</v>
      </c>
      <c r="L23" s="386"/>
      <c r="M23" s="387"/>
      <c r="N23" s="388"/>
      <c r="O23" s="65"/>
      <c r="P23" s="91">
        <v>1</v>
      </c>
      <c r="Q23" s="387" t="s">
        <v>102</v>
      </c>
      <c r="R23" s="387"/>
      <c r="S23" s="387"/>
      <c r="T23" s="387"/>
      <c r="U23" s="387"/>
      <c r="V23" s="387"/>
      <c r="W23" s="387"/>
      <c r="X23" s="387"/>
      <c r="Y23" s="387"/>
      <c r="Z23" s="401"/>
      <c r="AA23" s="94">
        <v>1</v>
      </c>
      <c r="AB23" s="94" t="s">
        <v>101</v>
      </c>
      <c r="AC23" s="95"/>
      <c r="AD23" s="69"/>
    </row>
    <row r="24" spans="1:30" ht="27.75" customHeight="1" x14ac:dyDescent="0.2">
      <c r="A24" s="64"/>
      <c r="B24" s="96">
        <v>2</v>
      </c>
      <c r="C24" s="375" t="s">
        <v>103</v>
      </c>
      <c r="D24" s="375"/>
      <c r="E24" s="375"/>
      <c r="F24" s="375"/>
      <c r="G24" s="375"/>
      <c r="H24" s="375"/>
      <c r="I24" s="375"/>
      <c r="J24" s="97" t="s">
        <v>116</v>
      </c>
      <c r="K24" s="98" t="s">
        <v>101</v>
      </c>
      <c r="L24" s="384"/>
      <c r="M24" s="375"/>
      <c r="N24" s="385"/>
      <c r="O24" s="65"/>
      <c r="P24" s="96">
        <v>2</v>
      </c>
      <c r="Q24" s="375"/>
      <c r="R24" s="375"/>
      <c r="S24" s="375"/>
      <c r="T24" s="375"/>
      <c r="U24" s="375"/>
      <c r="V24" s="375"/>
      <c r="W24" s="375"/>
      <c r="X24" s="375"/>
      <c r="Y24" s="375"/>
      <c r="Z24" s="379"/>
      <c r="AA24" s="97"/>
      <c r="AB24" s="97"/>
      <c r="AC24" s="99"/>
      <c r="AD24" s="69"/>
    </row>
    <row r="25" spans="1:30" ht="30.75" customHeight="1" x14ac:dyDescent="0.2">
      <c r="A25" s="64"/>
      <c r="B25" s="96">
        <v>3</v>
      </c>
      <c r="C25" s="375" t="s">
        <v>104</v>
      </c>
      <c r="D25" s="375"/>
      <c r="E25" s="375"/>
      <c r="F25" s="375"/>
      <c r="G25" s="375"/>
      <c r="H25" s="375"/>
      <c r="I25" s="375"/>
      <c r="J25" s="97" t="s">
        <v>117</v>
      </c>
      <c r="K25" s="98" t="s">
        <v>101</v>
      </c>
      <c r="L25" s="384"/>
      <c r="M25" s="375"/>
      <c r="N25" s="385"/>
      <c r="O25" s="65"/>
      <c r="P25" s="96">
        <v>3</v>
      </c>
      <c r="Q25" s="375"/>
      <c r="R25" s="375"/>
      <c r="S25" s="375"/>
      <c r="T25" s="375"/>
      <c r="U25" s="375"/>
      <c r="V25" s="375"/>
      <c r="W25" s="375"/>
      <c r="X25" s="375"/>
      <c r="Y25" s="375"/>
      <c r="Z25" s="379"/>
      <c r="AA25" s="97"/>
      <c r="AB25" s="97"/>
      <c r="AC25" s="99"/>
      <c r="AD25" s="69"/>
    </row>
    <row r="26" spans="1:30" ht="27.75" customHeight="1" x14ac:dyDescent="0.2">
      <c r="A26" s="64"/>
      <c r="B26" s="96">
        <v>4</v>
      </c>
      <c r="C26" s="375" t="s">
        <v>105</v>
      </c>
      <c r="D26" s="375"/>
      <c r="E26" s="375"/>
      <c r="F26" s="375"/>
      <c r="G26" s="375"/>
      <c r="H26" s="375"/>
      <c r="I26" s="375"/>
      <c r="J26" s="135" t="s">
        <v>118</v>
      </c>
      <c r="K26" s="98" t="s">
        <v>101</v>
      </c>
      <c r="L26" s="384"/>
      <c r="M26" s="375"/>
      <c r="N26" s="385"/>
      <c r="O26" s="65"/>
      <c r="P26" s="96">
        <v>4</v>
      </c>
      <c r="Q26" s="375"/>
      <c r="R26" s="375"/>
      <c r="S26" s="375"/>
      <c r="T26" s="375"/>
      <c r="U26" s="375"/>
      <c r="V26" s="375"/>
      <c r="W26" s="375"/>
      <c r="X26" s="375"/>
      <c r="Y26" s="375"/>
      <c r="Z26" s="379"/>
      <c r="AA26" s="97"/>
      <c r="AB26" s="100"/>
      <c r="AC26" s="101"/>
      <c r="AD26" s="69"/>
    </row>
    <row r="27" spans="1:30" ht="27.75" customHeight="1" x14ac:dyDescent="0.2">
      <c r="A27" s="64"/>
      <c r="B27" s="96">
        <v>5</v>
      </c>
      <c r="C27" s="375" t="s">
        <v>106</v>
      </c>
      <c r="D27" s="375"/>
      <c r="E27" s="375"/>
      <c r="F27" s="375"/>
      <c r="G27" s="375"/>
      <c r="H27" s="375"/>
      <c r="I27" s="375"/>
      <c r="J27" s="136" t="s">
        <v>118</v>
      </c>
      <c r="K27" s="98" t="s">
        <v>101</v>
      </c>
      <c r="L27" s="386"/>
      <c r="M27" s="387"/>
      <c r="N27" s="388"/>
      <c r="O27" s="65"/>
      <c r="P27" s="96">
        <v>5</v>
      </c>
      <c r="Q27" s="375"/>
      <c r="R27" s="375"/>
      <c r="S27" s="375"/>
      <c r="T27" s="375"/>
      <c r="U27" s="375"/>
      <c r="V27" s="375"/>
      <c r="W27" s="375"/>
      <c r="X27" s="375"/>
      <c r="Y27" s="375"/>
      <c r="Z27" s="379"/>
      <c r="AA27" s="97"/>
      <c r="AB27" s="97"/>
      <c r="AC27" s="99"/>
      <c r="AD27" s="69"/>
    </row>
    <row r="28" spans="1:30" ht="27.75" customHeight="1" x14ac:dyDescent="0.2">
      <c r="A28" s="64"/>
      <c r="B28" s="96">
        <v>6</v>
      </c>
      <c r="C28" s="375" t="s">
        <v>107</v>
      </c>
      <c r="D28" s="375"/>
      <c r="E28" s="375"/>
      <c r="F28" s="375"/>
      <c r="G28" s="375"/>
      <c r="H28" s="375"/>
      <c r="I28" s="375"/>
      <c r="J28" s="97" t="s">
        <v>119</v>
      </c>
      <c r="K28" s="98" t="s">
        <v>108</v>
      </c>
      <c r="L28" s="384"/>
      <c r="M28" s="375"/>
      <c r="N28" s="385"/>
      <c r="O28" s="65"/>
      <c r="P28" s="96">
        <v>6</v>
      </c>
      <c r="Q28" s="375"/>
      <c r="R28" s="375"/>
      <c r="S28" s="375"/>
      <c r="T28" s="375"/>
      <c r="U28" s="375"/>
      <c r="V28" s="375"/>
      <c r="W28" s="375"/>
      <c r="X28" s="375"/>
      <c r="Y28" s="375"/>
      <c r="Z28" s="379"/>
      <c r="AA28" s="97"/>
      <c r="AB28" s="97"/>
      <c r="AC28" s="99"/>
      <c r="AD28" s="69"/>
    </row>
    <row r="29" spans="1:30" ht="27.75" customHeight="1" x14ac:dyDescent="0.2">
      <c r="A29" s="64"/>
      <c r="B29" s="96">
        <v>7</v>
      </c>
      <c r="C29" s="375" t="s">
        <v>109</v>
      </c>
      <c r="D29" s="375"/>
      <c r="E29" s="375"/>
      <c r="F29" s="375"/>
      <c r="G29" s="375"/>
      <c r="H29" s="375"/>
      <c r="I29" s="375"/>
      <c r="J29" s="97" t="s">
        <v>120</v>
      </c>
      <c r="K29" s="98" t="s">
        <v>108</v>
      </c>
      <c r="L29" s="376"/>
      <c r="M29" s="377"/>
      <c r="N29" s="378"/>
      <c r="O29" s="65"/>
      <c r="P29" s="96">
        <v>7</v>
      </c>
      <c r="Q29" s="375"/>
      <c r="R29" s="375"/>
      <c r="S29" s="375"/>
      <c r="T29" s="375"/>
      <c r="U29" s="375"/>
      <c r="V29" s="375"/>
      <c r="W29" s="375"/>
      <c r="X29" s="375"/>
      <c r="Y29" s="375"/>
      <c r="Z29" s="379"/>
      <c r="AA29" s="97"/>
      <c r="AB29" s="97"/>
      <c r="AC29" s="102"/>
      <c r="AD29" s="69"/>
    </row>
    <row r="30" spans="1:30" ht="33" customHeight="1" x14ac:dyDescent="0.2">
      <c r="A30" s="64"/>
      <c r="B30" s="96">
        <v>8</v>
      </c>
      <c r="C30" s="375" t="s">
        <v>110</v>
      </c>
      <c r="D30" s="375"/>
      <c r="E30" s="375"/>
      <c r="F30" s="375"/>
      <c r="G30" s="375"/>
      <c r="H30" s="375"/>
      <c r="I30" s="375"/>
      <c r="J30" s="97" t="s">
        <v>121</v>
      </c>
      <c r="K30" s="98" t="s">
        <v>108</v>
      </c>
      <c r="L30" s="376"/>
      <c r="M30" s="377"/>
      <c r="N30" s="378"/>
      <c r="O30" s="65"/>
      <c r="P30" s="96">
        <v>8</v>
      </c>
      <c r="Q30" s="375"/>
      <c r="R30" s="375"/>
      <c r="S30" s="375"/>
      <c r="T30" s="375"/>
      <c r="U30" s="375"/>
      <c r="V30" s="375"/>
      <c r="W30" s="375"/>
      <c r="X30" s="375"/>
      <c r="Y30" s="375"/>
      <c r="Z30" s="379"/>
      <c r="AA30" s="97"/>
      <c r="AB30" s="97"/>
      <c r="AC30" s="102"/>
      <c r="AD30" s="69"/>
    </row>
    <row r="31" spans="1:30" ht="27.75" customHeight="1" x14ac:dyDescent="0.2">
      <c r="A31" s="64"/>
      <c r="B31" s="96">
        <v>9</v>
      </c>
      <c r="C31" s="103"/>
      <c r="D31" s="103"/>
      <c r="E31" s="103"/>
      <c r="F31" s="103"/>
      <c r="G31" s="103"/>
      <c r="H31" s="103"/>
      <c r="I31" s="103"/>
      <c r="J31" s="100"/>
      <c r="K31" s="104"/>
      <c r="L31" s="105"/>
      <c r="M31" s="106"/>
      <c r="N31" s="107"/>
      <c r="O31" s="65"/>
      <c r="P31" s="96">
        <v>9</v>
      </c>
      <c r="Q31" s="103"/>
      <c r="R31" s="103"/>
      <c r="S31" s="103"/>
      <c r="T31" s="103"/>
      <c r="U31" s="103"/>
      <c r="V31" s="103"/>
      <c r="W31" s="103"/>
      <c r="X31" s="103"/>
      <c r="Y31" s="103"/>
      <c r="Z31" s="108"/>
      <c r="AA31" s="100"/>
      <c r="AB31" s="100"/>
      <c r="AC31" s="107"/>
      <c r="AD31" s="69"/>
    </row>
    <row r="32" spans="1:30" ht="27.75" customHeight="1" x14ac:dyDescent="0.2">
      <c r="A32" s="64"/>
      <c r="B32" s="96">
        <v>10</v>
      </c>
      <c r="C32" s="103"/>
      <c r="D32" s="103"/>
      <c r="E32" s="103"/>
      <c r="F32" s="103"/>
      <c r="G32" s="103"/>
      <c r="H32" s="103"/>
      <c r="I32" s="103"/>
      <c r="J32" s="100"/>
      <c r="K32" s="104"/>
      <c r="L32" s="105"/>
      <c r="M32" s="106"/>
      <c r="N32" s="107"/>
      <c r="O32" s="65"/>
      <c r="P32" s="96">
        <v>10</v>
      </c>
      <c r="Q32" s="103"/>
      <c r="R32" s="103"/>
      <c r="S32" s="103"/>
      <c r="T32" s="103"/>
      <c r="U32" s="103"/>
      <c r="V32" s="103"/>
      <c r="W32" s="103"/>
      <c r="X32" s="103"/>
      <c r="Y32" s="103"/>
      <c r="Z32" s="108"/>
      <c r="AA32" s="100"/>
      <c r="AB32" s="100"/>
      <c r="AC32" s="107"/>
      <c r="AD32" s="69"/>
    </row>
    <row r="33" spans="1:30" ht="27.75" customHeight="1" thickBot="1" x14ac:dyDescent="0.25">
      <c r="A33" s="64"/>
      <c r="B33" s="96">
        <v>11</v>
      </c>
      <c r="C33" s="380"/>
      <c r="D33" s="380"/>
      <c r="E33" s="380"/>
      <c r="F33" s="380"/>
      <c r="G33" s="380"/>
      <c r="H33" s="380"/>
      <c r="I33" s="380"/>
      <c r="J33" s="109"/>
      <c r="K33" s="110"/>
      <c r="L33" s="381"/>
      <c r="M33" s="380"/>
      <c r="N33" s="382"/>
      <c r="O33" s="65"/>
      <c r="P33" s="96">
        <v>11</v>
      </c>
      <c r="Q33" s="380"/>
      <c r="R33" s="380"/>
      <c r="S33" s="380"/>
      <c r="T33" s="380"/>
      <c r="U33" s="380"/>
      <c r="V33" s="380"/>
      <c r="W33" s="380"/>
      <c r="X33" s="380"/>
      <c r="Y33" s="380"/>
      <c r="Z33" s="383"/>
      <c r="AA33" s="109"/>
      <c r="AB33" s="109"/>
      <c r="AC33" s="111"/>
      <c r="AD33" s="69"/>
    </row>
    <row r="34" spans="1:30" ht="5.25" customHeight="1" thickBot="1" x14ac:dyDescent="0.25">
      <c r="A34" s="64"/>
      <c r="B34" s="65"/>
      <c r="C34" s="65"/>
      <c r="D34" s="65"/>
      <c r="E34" s="65"/>
      <c r="F34" s="65"/>
      <c r="G34" s="65"/>
      <c r="H34" s="65"/>
      <c r="I34" s="65"/>
      <c r="J34" s="65"/>
      <c r="K34" s="65"/>
      <c r="L34" s="65"/>
      <c r="M34" s="65"/>
      <c r="N34" s="70"/>
      <c r="O34" s="70"/>
      <c r="P34" s="70"/>
      <c r="Q34" s="70"/>
      <c r="R34" s="65"/>
      <c r="S34" s="65"/>
      <c r="T34" s="65"/>
      <c r="U34" s="65"/>
      <c r="V34" s="65"/>
      <c r="W34" s="65"/>
      <c r="X34" s="65"/>
      <c r="Y34" s="65"/>
      <c r="Z34" s="65"/>
      <c r="AA34" s="65"/>
      <c r="AB34" s="65"/>
      <c r="AC34" s="65"/>
      <c r="AD34" s="69"/>
    </row>
    <row r="35" spans="1:30" ht="29.25" customHeight="1" thickBot="1" x14ac:dyDescent="0.2">
      <c r="A35" s="64"/>
      <c r="B35" s="362" t="s">
        <v>111</v>
      </c>
      <c r="C35" s="363"/>
      <c r="D35" s="363"/>
      <c r="E35" s="363"/>
      <c r="F35" s="364"/>
      <c r="G35" s="364"/>
      <c r="H35" s="365"/>
      <c r="I35" s="112"/>
      <c r="J35" s="113"/>
      <c r="K35" s="114" t="s">
        <v>112</v>
      </c>
      <c r="L35" s="366" t="s">
        <v>113</v>
      </c>
      <c r="M35" s="367"/>
      <c r="N35" s="368"/>
      <c r="O35" s="70"/>
      <c r="P35" s="115" t="s">
        <v>111</v>
      </c>
      <c r="Q35" s="112"/>
      <c r="R35" s="112"/>
      <c r="S35" s="112"/>
      <c r="T35" s="112"/>
      <c r="U35" s="112"/>
      <c r="V35" s="112"/>
      <c r="W35" s="112"/>
      <c r="X35" s="112"/>
      <c r="Y35" s="112"/>
      <c r="Z35" s="116"/>
      <c r="AA35" s="117" t="s">
        <v>112</v>
      </c>
      <c r="AB35" s="366" t="s">
        <v>113</v>
      </c>
      <c r="AC35" s="368"/>
      <c r="AD35" s="69"/>
    </row>
    <row r="36" spans="1:30" ht="24.95" customHeight="1" x14ac:dyDescent="0.15">
      <c r="A36" s="64"/>
      <c r="B36" s="118">
        <v>1</v>
      </c>
      <c r="C36" s="369"/>
      <c r="D36" s="369"/>
      <c r="E36" s="369"/>
      <c r="F36" s="369"/>
      <c r="G36" s="369"/>
      <c r="H36" s="369"/>
      <c r="I36" s="369"/>
      <c r="J36" s="370"/>
      <c r="K36" s="119"/>
      <c r="L36" s="371"/>
      <c r="M36" s="369"/>
      <c r="N36" s="372"/>
      <c r="O36" s="70"/>
      <c r="P36" s="118">
        <v>1</v>
      </c>
      <c r="Q36" s="373"/>
      <c r="R36" s="373"/>
      <c r="S36" s="373"/>
      <c r="T36" s="373"/>
      <c r="U36" s="373"/>
      <c r="V36" s="373"/>
      <c r="W36" s="373"/>
      <c r="X36" s="373"/>
      <c r="Y36" s="373"/>
      <c r="Z36" s="374"/>
      <c r="AA36" s="119"/>
      <c r="AB36" s="371"/>
      <c r="AC36" s="372"/>
      <c r="AD36" s="69"/>
    </row>
    <row r="37" spans="1:30" ht="24.95" customHeight="1" x14ac:dyDescent="0.15">
      <c r="A37" s="64"/>
      <c r="B37" s="120">
        <v>2</v>
      </c>
      <c r="C37" s="350"/>
      <c r="D37" s="350"/>
      <c r="E37" s="350"/>
      <c r="F37" s="350"/>
      <c r="G37" s="350"/>
      <c r="H37" s="350"/>
      <c r="I37" s="350"/>
      <c r="J37" s="351"/>
      <c r="K37" s="121"/>
      <c r="L37" s="352"/>
      <c r="M37" s="350"/>
      <c r="N37" s="353"/>
      <c r="O37" s="70"/>
      <c r="P37" s="120">
        <v>2</v>
      </c>
      <c r="Q37" s="350"/>
      <c r="R37" s="350"/>
      <c r="S37" s="350"/>
      <c r="T37" s="350"/>
      <c r="U37" s="350"/>
      <c r="V37" s="350"/>
      <c r="W37" s="350"/>
      <c r="X37" s="350"/>
      <c r="Y37" s="350"/>
      <c r="Z37" s="351"/>
      <c r="AA37" s="122"/>
      <c r="AB37" s="352"/>
      <c r="AC37" s="353"/>
      <c r="AD37" s="69"/>
    </row>
    <row r="38" spans="1:30" ht="24.95" customHeight="1" x14ac:dyDescent="0.15">
      <c r="A38" s="64"/>
      <c r="B38" s="120">
        <v>3</v>
      </c>
      <c r="C38" s="350"/>
      <c r="D38" s="350"/>
      <c r="E38" s="350"/>
      <c r="F38" s="350"/>
      <c r="G38" s="350"/>
      <c r="H38" s="350"/>
      <c r="I38" s="350"/>
      <c r="J38" s="351"/>
      <c r="K38" s="121"/>
      <c r="L38" s="352"/>
      <c r="M38" s="350"/>
      <c r="N38" s="353"/>
      <c r="O38" s="70"/>
      <c r="P38" s="120">
        <v>3</v>
      </c>
      <c r="Q38" s="350"/>
      <c r="R38" s="350"/>
      <c r="S38" s="350"/>
      <c r="T38" s="350"/>
      <c r="U38" s="350"/>
      <c r="V38" s="350"/>
      <c r="W38" s="350"/>
      <c r="X38" s="350"/>
      <c r="Y38" s="350"/>
      <c r="Z38" s="351"/>
      <c r="AA38" s="122"/>
      <c r="AB38" s="352"/>
      <c r="AC38" s="353"/>
      <c r="AD38" s="69"/>
    </row>
    <row r="39" spans="1:30" ht="24.95" customHeight="1" x14ac:dyDescent="0.15">
      <c r="A39" s="64"/>
      <c r="B39" s="120">
        <v>4</v>
      </c>
      <c r="C39" s="350"/>
      <c r="D39" s="350"/>
      <c r="E39" s="350"/>
      <c r="F39" s="350"/>
      <c r="G39" s="350"/>
      <c r="H39" s="350"/>
      <c r="I39" s="350"/>
      <c r="J39" s="351"/>
      <c r="K39" s="121"/>
      <c r="L39" s="352"/>
      <c r="M39" s="350"/>
      <c r="N39" s="353"/>
      <c r="O39" s="70"/>
      <c r="P39" s="120">
        <v>4</v>
      </c>
      <c r="Q39" s="350"/>
      <c r="R39" s="350"/>
      <c r="S39" s="350"/>
      <c r="T39" s="350"/>
      <c r="U39" s="350"/>
      <c r="V39" s="350"/>
      <c r="W39" s="350"/>
      <c r="X39" s="350"/>
      <c r="Y39" s="350"/>
      <c r="Z39" s="351"/>
      <c r="AA39" s="123"/>
      <c r="AB39" s="352"/>
      <c r="AC39" s="353"/>
      <c r="AD39" s="69"/>
    </row>
    <row r="40" spans="1:30" ht="24.95" customHeight="1" x14ac:dyDescent="0.15">
      <c r="A40" s="64"/>
      <c r="B40" s="120">
        <v>5</v>
      </c>
      <c r="C40" s="350"/>
      <c r="D40" s="350"/>
      <c r="E40" s="350"/>
      <c r="F40" s="350"/>
      <c r="G40" s="350"/>
      <c r="H40" s="350"/>
      <c r="I40" s="350"/>
      <c r="J40" s="351"/>
      <c r="K40" s="122"/>
      <c r="L40" s="352"/>
      <c r="M40" s="350"/>
      <c r="N40" s="353"/>
      <c r="O40" s="70"/>
      <c r="P40" s="120">
        <v>5</v>
      </c>
      <c r="Q40" s="354"/>
      <c r="R40" s="354"/>
      <c r="S40" s="354"/>
      <c r="T40" s="354"/>
      <c r="U40" s="354"/>
      <c r="V40" s="354"/>
      <c r="W40" s="354"/>
      <c r="X40" s="354"/>
      <c r="Y40" s="354"/>
      <c r="Z40" s="355"/>
      <c r="AA40" s="122"/>
      <c r="AB40" s="352"/>
      <c r="AC40" s="353"/>
      <c r="AD40" s="69"/>
    </row>
    <row r="41" spans="1:30" ht="24.95" customHeight="1" x14ac:dyDescent="0.15">
      <c r="A41" s="64"/>
      <c r="B41" s="120">
        <v>6</v>
      </c>
      <c r="C41" s="350"/>
      <c r="D41" s="350"/>
      <c r="E41" s="350"/>
      <c r="F41" s="350"/>
      <c r="G41" s="350"/>
      <c r="H41" s="350"/>
      <c r="I41" s="350"/>
      <c r="J41" s="351"/>
      <c r="K41" s="122"/>
      <c r="L41" s="352"/>
      <c r="M41" s="350"/>
      <c r="N41" s="353"/>
      <c r="O41" s="70"/>
      <c r="P41" s="120">
        <v>6</v>
      </c>
      <c r="Q41" s="354"/>
      <c r="R41" s="354"/>
      <c r="S41" s="354"/>
      <c r="T41" s="354"/>
      <c r="U41" s="354"/>
      <c r="V41" s="354"/>
      <c r="W41" s="354"/>
      <c r="X41" s="354"/>
      <c r="Y41" s="354"/>
      <c r="Z41" s="355"/>
      <c r="AA41" s="122"/>
      <c r="AB41" s="352"/>
      <c r="AC41" s="353"/>
      <c r="AD41" s="69"/>
    </row>
    <row r="42" spans="1:30" ht="24.95" customHeight="1" thickBot="1" x14ac:dyDescent="0.2">
      <c r="A42" s="64"/>
      <c r="B42" s="124">
        <v>7</v>
      </c>
      <c r="C42" s="356"/>
      <c r="D42" s="356"/>
      <c r="E42" s="356"/>
      <c r="F42" s="356"/>
      <c r="G42" s="356"/>
      <c r="H42" s="356"/>
      <c r="I42" s="356"/>
      <c r="J42" s="357"/>
      <c r="K42" s="125"/>
      <c r="L42" s="358"/>
      <c r="M42" s="356"/>
      <c r="N42" s="359"/>
      <c r="O42" s="70"/>
      <c r="P42" s="124">
        <v>7</v>
      </c>
      <c r="Q42" s="360"/>
      <c r="R42" s="360"/>
      <c r="S42" s="360"/>
      <c r="T42" s="360"/>
      <c r="U42" s="360"/>
      <c r="V42" s="360"/>
      <c r="W42" s="360"/>
      <c r="X42" s="360"/>
      <c r="Y42" s="360"/>
      <c r="Z42" s="361"/>
      <c r="AA42" s="125"/>
      <c r="AB42" s="358"/>
      <c r="AC42" s="359"/>
      <c r="AD42" s="69"/>
    </row>
    <row r="43" spans="1:30" ht="24.95" customHeight="1" thickBot="1" x14ac:dyDescent="0.2">
      <c r="A43" s="64"/>
      <c r="B43" s="126"/>
      <c r="C43" s="127"/>
      <c r="D43" s="127"/>
      <c r="E43" s="127"/>
      <c r="F43" s="127"/>
      <c r="G43" s="127"/>
      <c r="H43" s="127"/>
      <c r="I43" s="127"/>
      <c r="J43" s="127"/>
      <c r="K43" s="128"/>
      <c r="L43" s="127"/>
      <c r="M43" s="127"/>
      <c r="N43" s="127"/>
      <c r="O43" s="70"/>
      <c r="P43" s="126"/>
      <c r="Q43" s="129"/>
      <c r="R43" s="129"/>
      <c r="S43" s="129"/>
      <c r="T43" s="129"/>
      <c r="U43" s="129"/>
      <c r="V43" s="129"/>
      <c r="W43" s="129"/>
      <c r="X43" s="129"/>
      <c r="Y43" s="129"/>
      <c r="Z43" s="129"/>
      <c r="AA43" s="128"/>
      <c r="AB43" s="127"/>
      <c r="AC43" s="127"/>
      <c r="AD43" s="69"/>
    </row>
    <row r="44" spans="1:30" ht="24.95" customHeight="1" x14ac:dyDescent="0.15">
      <c r="A44" s="64"/>
      <c r="B44" s="341" t="s">
        <v>114</v>
      </c>
      <c r="C44" s="342"/>
      <c r="D44" s="342"/>
      <c r="E44" s="342"/>
      <c r="F44" s="342"/>
      <c r="G44" s="342"/>
      <c r="H44" s="342"/>
      <c r="I44" s="342"/>
      <c r="J44" s="342"/>
      <c r="K44" s="342"/>
      <c r="L44" s="342"/>
      <c r="M44" s="342"/>
      <c r="N44" s="342"/>
      <c r="O44" s="342"/>
      <c r="P44" s="342"/>
      <c r="Q44" s="342"/>
      <c r="R44" s="342"/>
      <c r="S44" s="342"/>
      <c r="T44" s="342"/>
      <c r="U44" s="342"/>
      <c r="V44" s="342"/>
      <c r="W44" s="342"/>
      <c r="X44" s="342"/>
      <c r="Y44" s="342"/>
      <c r="Z44" s="342"/>
      <c r="AA44" s="342"/>
      <c r="AB44" s="342"/>
      <c r="AC44" s="343"/>
      <c r="AD44" s="69"/>
    </row>
    <row r="45" spans="1:30" ht="24.95" customHeight="1" x14ac:dyDescent="0.15">
      <c r="A45" s="64"/>
      <c r="B45" s="344"/>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45"/>
      <c r="AA45" s="345"/>
      <c r="AB45" s="345"/>
      <c r="AC45" s="346"/>
      <c r="AD45" s="69"/>
    </row>
    <row r="46" spans="1:30" ht="24.95" customHeight="1" x14ac:dyDescent="0.15">
      <c r="A46" s="64"/>
      <c r="B46" s="344"/>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45"/>
      <c r="AA46" s="345"/>
      <c r="AB46" s="345"/>
      <c r="AC46" s="346"/>
      <c r="AD46" s="69"/>
    </row>
    <row r="47" spans="1:30" ht="24.95" customHeight="1" x14ac:dyDescent="0.15">
      <c r="A47" s="64"/>
      <c r="B47" s="344"/>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45"/>
      <c r="AA47" s="345"/>
      <c r="AB47" s="345"/>
      <c r="AC47" s="346"/>
      <c r="AD47" s="69"/>
    </row>
    <row r="48" spans="1:30" ht="24.95" customHeight="1" x14ac:dyDescent="0.15">
      <c r="A48" s="64"/>
      <c r="B48" s="344"/>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45"/>
      <c r="AA48" s="345"/>
      <c r="AB48" s="345"/>
      <c r="AC48" s="346"/>
      <c r="AD48" s="69"/>
    </row>
    <row r="49" spans="1:30" ht="15.75" customHeight="1" thickBot="1" x14ac:dyDescent="0.2">
      <c r="A49" s="64"/>
      <c r="B49" s="347"/>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c r="AA49" s="348"/>
      <c r="AB49" s="348"/>
      <c r="AC49" s="349"/>
      <c r="AD49" s="69"/>
    </row>
    <row r="50" spans="1:30" ht="29.25" customHeight="1" thickBot="1" x14ac:dyDescent="0.25">
      <c r="A50" s="130"/>
      <c r="B50" s="131"/>
      <c r="C50" s="131"/>
      <c r="D50" s="131"/>
      <c r="E50" s="131"/>
      <c r="F50" s="131"/>
      <c r="G50" s="131"/>
      <c r="H50" s="131"/>
      <c r="I50" s="131"/>
      <c r="J50" s="131"/>
      <c r="K50" s="131"/>
      <c r="L50" s="131"/>
      <c r="M50" s="132"/>
      <c r="N50" s="132"/>
      <c r="O50" s="132"/>
      <c r="P50" s="132"/>
      <c r="Q50" s="132"/>
      <c r="R50" s="132"/>
      <c r="S50" s="132"/>
      <c r="T50" s="132"/>
      <c r="U50" s="132"/>
      <c r="V50" s="132"/>
      <c r="W50" s="132"/>
      <c r="X50" s="132"/>
      <c r="Y50" s="132"/>
      <c r="Z50" s="131"/>
      <c r="AA50" s="131"/>
      <c r="AB50" s="131"/>
      <c r="AC50" s="131"/>
      <c r="AD50" s="133"/>
    </row>
    <row r="51" spans="1:30" ht="5.25" customHeight="1" x14ac:dyDescent="0.15"/>
    <row r="52" spans="1:30" ht="10.5" customHeight="1" x14ac:dyDescent="0.15"/>
  </sheetData>
  <mergeCells count="103">
    <mergeCell ref="J5:N6"/>
    <mergeCell ref="O5:U6"/>
    <mergeCell ref="B7:H7"/>
    <mergeCell ref="X7:AC7"/>
    <mergeCell ref="C8:H8"/>
    <mergeCell ref="Y8:AC8"/>
    <mergeCell ref="B2:C2"/>
    <mergeCell ref="D2:H2"/>
    <mergeCell ref="AB2:AC2"/>
    <mergeCell ref="B4:C4"/>
    <mergeCell ref="D4:H4"/>
    <mergeCell ref="W4:Z4"/>
    <mergeCell ref="C13:H13"/>
    <mergeCell ref="Y13:AC13"/>
    <mergeCell ref="C14:H14"/>
    <mergeCell ref="Y14:AC14"/>
    <mergeCell ref="C15:H15"/>
    <mergeCell ref="Y15:AC15"/>
    <mergeCell ref="C9:H9"/>
    <mergeCell ref="N9:Q12"/>
    <mergeCell ref="Y9:AC9"/>
    <mergeCell ref="C10:H10"/>
    <mergeCell ref="Y10:AC10"/>
    <mergeCell ref="C11:H11"/>
    <mergeCell ref="Y11:AC11"/>
    <mergeCell ref="C12:H12"/>
    <mergeCell ref="Y12:AC12"/>
    <mergeCell ref="C18:H18"/>
    <mergeCell ref="K18:M18"/>
    <mergeCell ref="P18:Q18"/>
    <mergeCell ref="R18:T18"/>
    <mergeCell ref="C19:H19"/>
    <mergeCell ref="S19:T19"/>
    <mergeCell ref="C16:H16"/>
    <mergeCell ref="Y16:AC16"/>
    <mergeCell ref="C17:H17"/>
    <mergeCell ref="K17:M17"/>
    <mergeCell ref="P17:T17"/>
    <mergeCell ref="Y17:AC17"/>
    <mergeCell ref="C24:I24"/>
    <mergeCell ref="L24:N24"/>
    <mergeCell ref="Q24:Z24"/>
    <mergeCell ref="C25:I25"/>
    <mergeCell ref="L25:N25"/>
    <mergeCell ref="Q25:Z25"/>
    <mergeCell ref="C20:H20"/>
    <mergeCell ref="C21:H21"/>
    <mergeCell ref="B22:I22"/>
    <mergeCell ref="L22:N22"/>
    <mergeCell ref="P22:Z22"/>
    <mergeCell ref="C23:I23"/>
    <mergeCell ref="L23:N23"/>
    <mergeCell ref="Q23:Z23"/>
    <mergeCell ref="C28:I28"/>
    <mergeCell ref="L28:N28"/>
    <mergeCell ref="Q28:Z28"/>
    <mergeCell ref="C29:I29"/>
    <mergeCell ref="L29:N29"/>
    <mergeCell ref="Q29:Z29"/>
    <mergeCell ref="C26:I26"/>
    <mergeCell ref="L26:N26"/>
    <mergeCell ref="Q26:Z26"/>
    <mergeCell ref="C27:I27"/>
    <mergeCell ref="L27:N27"/>
    <mergeCell ref="Q27:Z27"/>
    <mergeCell ref="B35:H35"/>
    <mergeCell ref="L35:N35"/>
    <mergeCell ref="AB35:AC35"/>
    <mergeCell ref="C36:J36"/>
    <mergeCell ref="L36:N36"/>
    <mergeCell ref="Q36:Z36"/>
    <mergeCell ref="AB36:AC36"/>
    <mergeCell ref="C30:I30"/>
    <mergeCell ref="L30:N30"/>
    <mergeCell ref="Q30:Z30"/>
    <mergeCell ref="C33:I33"/>
    <mergeCell ref="L33:N33"/>
    <mergeCell ref="Q33:Z33"/>
    <mergeCell ref="C39:J39"/>
    <mergeCell ref="L39:N39"/>
    <mergeCell ref="Q39:Z39"/>
    <mergeCell ref="AB39:AC39"/>
    <mergeCell ref="C40:J40"/>
    <mergeCell ref="L40:N40"/>
    <mergeCell ref="Q40:Z40"/>
    <mergeCell ref="AB40:AC40"/>
    <mergeCell ref="C37:J37"/>
    <mergeCell ref="L37:N37"/>
    <mergeCell ref="Q37:Z37"/>
    <mergeCell ref="AB37:AC37"/>
    <mergeCell ref="C38:J38"/>
    <mergeCell ref="L38:N38"/>
    <mergeCell ref="Q38:Z38"/>
    <mergeCell ref="AB38:AC38"/>
    <mergeCell ref="B44:AC49"/>
    <mergeCell ref="C41:J41"/>
    <mergeCell ref="L41:N41"/>
    <mergeCell ref="Q41:Z41"/>
    <mergeCell ref="AB41:AC41"/>
    <mergeCell ref="C42:J42"/>
    <mergeCell ref="L42:N42"/>
    <mergeCell ref="Q42:Z42"/>
    <mergeCell ref="AB42:AC42"/>
  </mergeCells>
  <dataValidations count="1">
    <dataValidation type="list" allowBlank="1" showInputMessage="1" showErrorMessage="1" sqref="D4:H4">
      <formula1>"Effective, Ineffective,         "</formula1>
    </dataValidation>
  </dataValidations>
  <pageMargins left="0.19685039370078741" right="0.19685039370078741" top="0.43307086614173229" bottom="0.47244094488188981" header="0.31496062992125984" footer="0.19685039370078741"/>
  <pageSetup paperSize="8" scale="63" orientation="landscape" r:id="rId1"/>
  <headerFooter alignWithMargins="0">
    <oddFooter>&amp;L&amp;9PRO.007.02&amp;C&amp;9BHP Billiton Group Level Document&amp;10
&amp;R&amp;9Page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6:J15"/>
  <sheetViews>
    <sheetView workbookViewId="0">
      <selection activeCell="D6" sqref="D6"/>
    </sheetView>
  </sheetViews>
  <sheetFormatPr defaultRowHeight="12.75" x14ac:dyDescent="0.2"/>
  <cols>
    <col min="6" max="10" width="20.5703125" customWidth="1"/>
  </cols>
  <sheetData>
    <row r="6" spans="6:10" ht="191.25" x14ac:dyDescent="0.2">
      <c r="F6" s="145" t="s">
        <v>251</v>
      </c>
      <c r="G6" s="148" t="s">
        <v>249</v>
      </c>
      <c r="H6" s="147" t="s">
        <v>250</v>
      </c>
      <c r="I6" s="18"/>
      <c r="J6" s="148" t="s">
        <v>252</v>
      </c>
    </row>
    <row r="15" spans="6:10" ht="255" x14ac:dyDescent="0.2">
      <c r="F15" s="145" t="s">
        <v>247</v>
      </c>
      <c r="G15" s="148" t="s">
        <v>277</v>
      </c>
      <c r="H15" s="147" t="s">
        <v>248</v>
      </c>
      <c r="I15" s="18"/>
      <c r="J15" s="147" t="s">
        <v>278</v>
      </c>
    </row>
  </sheetData>
  <dataValidations count="1">
    <dataValidation type="list" showInputMessage="1" showErrorMessage="1" sqref="I15 I6">
      <formula1>$AG$252:$AG$259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AM203"/>
  <sheetViews>
    <sheetView topLeftCell="B39" workbookViewId="0">
      <selection activeCell="E39" sqref="E39"/>
    </sheetView>
  </sheetViews>
  <sheetFormatPr defaultColWidth="9.140625" defaultRowHeight="15.75" x14ac:dyDescent="0.2"/>
  <cols>
    <col min="1" max="1" width="20.7109375" style="192" customWidth="1"/>
    <col min="2" max="2" width="27.140625" style="243" customWidth="1"/>
    <col min="3" max="3" width="25.140625" style="153" customWidth="1"/>
    <col min="4" max="4" width="25.5703125" style="153" customWidth="1"/>
    <col min="5" max="5" width="41" style="153" customWidth="1"/>
    <col min="6" max="6" width="21.5703125" style="153" customWidth="1"/>
    <col min="7" max="7" width="11.42578125" style="153" customWidth="1"/>
    <col min="8" max="8" width="37.28515625" style="153" hidden="1" customWidth="1"/>
    <col min="9" max="9" width="37.85546875" style="158" customWidth="1"/>
    <col min="10" max="10" width="42.85546875" style="153" customWidth="1"/>
    <col min="11" max="11" width="22" style="153" customWidth="1"/>
    <col min="12" max="12" width="6.42578125" style="159" customWidth="1"/>
    <col min="13" max="14" width="6.28515625" style="159" customWidth="1"/>
    <col min="15" max="15" width="43.140625" style="153" customWidth="1"/>
    <col min="16" max="16" width="13" style="159" customWidth="1"/>
    <col min="17" max="17" width="10.42578125" style="153" customWidth="1"/>
    <col min="18" max="18" width="1.85546875" style="1" customWidth="1"/>
    <col min="19" max="19" width="9.140625" style="1"/>
    <col min="20" max="20" width="5.7109375" style="1" customWidth="1"/>
    <col min="21" max="21" width="9.140625" style="1"/>
    <col min="22" max="22" width="5" style="1" customWidth="1"/>
    <col min="23" max="30" width="11" style="11" customWidth="1"/>
    <col min="31" max="32" width="9.140625" style="1"/>
    <col min="33" max="33" width="9.85546875" style="1" customWidth="1"/>
    <col min="34" max="34" width="16.7109375" style="1" bestFit="1" customWidth="1"/>
    <col min="35" max="16384" width="9.140625" style="1"/>
  </cols>
  <sheetData>
    <row r="1" spans="1:39" ht="18.75" thickBot="1" x14ac:dyDescent="0.25">
      <c r="A1" s="314" t="str">
        <f>+'Cover Page'!D7</f>
        <v>Weeli Wolli Creek Newman Mainline 291km Bridge - Earthworks, Siteworks</v>
      </c>
      <c r="B1" s="315"/>
      <c r="C1" s="315"/>
      <c r="D1" s="315"/>
      <c r="E1" s="315"/>
      <c r="F1" s="315"/>
      <c r="G1" s="316"/>
      <c r="H1" s="316"/>
      <c r="I1" s="316"/>
      <c r="J1" s="316"/>
      <c r="K1" s="316"/>
      <c r="L1" s="315"/>
      <c r="M1" s="315"/>
      <c r="N1" s="315"/>
      <c r="O1" s="315"/>
      <c r="P1" s="315"/>
      <c r="Q1" s="315"/>
    </row>
    <row r="2" spans="1:39" ht="72" thickBot="1" x14ac:dyDescent="0.35">
      <c r="A2" s="206" t="s">
        <v>741</v>
      </c>
      <c r="B2" s="207" t="s">
        <v>730</v>
      </c>
      <c r="C2" s="207" t="s">
        <v>9</v>
      </c>
      <c r="D2" s="208" t="s">
        <v>363</v>
      </c>
      <c r="E2" s="209" t="s">
        <v>364</v>
      </c>
      <c r="F2" s="209" t="s">
        <v>365</v>
      </c>
      <c r="G2" s="209" t="s">
        <v>366</v>
      </c>
      <c r="H2" s="209" t="s">
        <v>46</v>
      </c>
      <c r="I2" s="210" t="s">
        <v>10</v>
      </c>
      <c r="J2" s="211" t="s">
        <v>728</v>
      </c>
      <c r="K2" s="209" t="s">
        <v>367</v>
      </c>
      <c r="L2" s="212" t="s">
        <v>24</v>
      </c>
      <c r="M2" s="213"/>
      <c r="N2" s="214"/>
      <c r="O2" s="209" t="s">
        <v>5</v>
      </c>
      <c r="P2" s="215" t="s">
        <v>18</v>
      </c>
      <c r="Q2" s="216" t="s">
        <v>3</v>
      </c>
      <c r="AB2" s="51" t="s">
        <v>30</v>
      </c>
    </row>
    <row r="3" spans="1:39" s="31" customFormat="1" ht="202.5" hidden="1" x14ac:dyDescent="0.2">
      <c r="A3" s="190" t="s">
        <v>163</v>
      </c>
      <c r="B3" s="157" t="s">
        <v>167</v>
      </c>
      <c r="C3" s="260" t="s">
        <v>166</v>
      </c>
      <c r="D3" s="260" t="s">
        <v>448</v>
      </c>
      <c r="E3" s="260" t="s">
        <v>348</v>
      </c>
      <c r="F3" s="260" t="s">
        <v>351</v>
      </c>
      <c r="G3" s="180">
        <v>2</v>
      </c>
      <c r="H3" s="179" t="s">
        <v>347</v>
      </c>
      <c r="I3" s="246" t="s">
        <v>788</v>
      </c>
      <c r="J3" s="180" t="s">
        <v>492</v>
      </c>
      <c r="K3" s="180" t="s">
        <v>349</v>
      </c>
      <c r="L3" s="181">
        <v>3</v>
      </c>
      <c r="M3" s="181">
        <v>0.3</v>
      </c>
      <c r="N3" s="182">
        <f t="shared" ref="N3:N27" si="0">L3*M3</f>
        <v>0.89999999999999991</v>
      </c>
      <c r="O3" s="224"/>
      <c r="P3" s="181"/>
      <c r="Q3" s="183"/>
    </row>
    <row r="4" spans="1:39" s="31" customFormat="1" ht="270" hidden="1" x14ac:dyDescent="0.2">
      <c r="A4" s="191" t="s">
        <v>163</v>
      </c>
      <c r="B4" s="156" t="s">
        <v>169</v>
      </c>
      <c r="C4" s="260" t="s">
        <v>426</v>
      </c>
      <c r="D4" s="260" t="s">
        <v>427</v>
      </c>
      <c r="E4" s="260" t="s">
        <v>496</v>
      </c>
      <c r="F4" s="260" t="s">
        <v>361</v>
      </c>
      <c r="G4" s="170">
        <v>3</v>
      </c>
      <c r="H4" s="170" t="s">
        <v>497</v>
      </c>
      <c r="I4" s="247" t="s">
        <v>789</v>
      </c>
      <c r="J4" s="186" t="s">
        <v>498</v>
      </c>
      <c r="K4" s="170" t="s">
        <v>410</v>
      </c>
      <c r="L4" s="171">
        <v>10</v>
      </c>
      <c r="M4" s="171">
        <v>1</v>
      </c>
      <c r="N4" s="172">
        <f t="shared" si="0"/>
        <v>10</v>
      </c>
      <c r="O4" s="173"/>
      <c r="P4" s="171"/>
      <c r="Q4" s="185"/>
    </row>
    <row r="5" spans="1:39" s="31" customFormat="1" ht="202.5" hidden="1" x14ac:dyDescent="0.2">
      <c r="A5" s="191" t="s">
        <v>639</v>
      </c>
      <c r="B5" s="156" t="s">
        <v>169</v>
      </c>
      <c r="C5" s="260" t="s">
        <v>640</v>
      </c>
      <c r="D5" s="260" t="s">
        <v>499</v>
      </c>
      <c r="E5" s="260" t="s">
        <v>500</v>
      </c>
      <c r="F5" s="260" t="s">
        <v>501</v>
      </c>
      <c r="G5" s="170">
        <v>4</v>
      </c>
      <c r="H5" s="170" t="s">
        <v>463</v>
      </c>
      <c r="I5" s="247" t="s">
        <v>790</v>
      </c>
      <c r="J5" s="170" t="s">
        <v>502</v>
      </c>
      <c r="K5" s="170" t="s">
        <v>303</v>
      </c>
      <c r="L5" s="171">
        <v>10</v>
      </c>
      <c r="M5" s="171">
        <v>3</v>
      </c>
      <c r="N5" s="172">
        <f t="shared" si="0"/>
        <v>30</v>
      </c>
      <c r="O5" s="173"/>
      <c r="P5" s="171"/>
      <c r="Q5" s="185"/>
    </row>
    <row r="6" spans="1:39" s="31" customFormat="1" ht="148.5" hidden="1" x14ac:dyDescent="0.2">
      <c r="A6" s="191" t="s">
        <v>750</v>
      </c>
      <c r="B6" s="156" t="s">
        <v>731</v>
      </c>
      <c r="C6" s="260" t="s">
        <v>183</v>
      </c>
      <c r="D6" s="260" t="s">
        <v>459</v>
      </c>
      <c r="E6" s="260" t="s">
        <v>460</v>
      </c>
      <c r="F6" s="260" t="s">
        <v>461</v>
      </c>
      <c r="G6" s="170">
        <v>4</v>
      </c>
      <c r="H6" s="170" t="s">
        <v>377</v>
      </c>
      <c r="I6" s="248" t="s">
        <v>791</v>
      </c>
      <c r="J6" s="170" t="s">
        <v>453</v>
      </c>
      <c r="K6" s="170" t="s">
        <v>261</v>
      </c>
      <c r="L6" s="171">
        <v>10</v>
      </c>
      <c r="M6" s="171">
        <v>0.3</v>
      </c>
      <c r="N6" s="172">
        <f t="shared" si="0"/>
        <v>3</v>
      </c>
      <c r="O6" s="173"/>
      <c r="P6" s="171"/>
      <c r="Q6" s="185"/>
      <c r="AL6" s="39"/>
      <c r="AM6" s="174"/>
    </row>
    <row r="7" spans="1:39" s="31" customFormat="1" ht="162" hidden="1" x14ac:dyDescent="0.2">
      <c r="A7" s="191" t="s">
        <v>642</v>
      </c>
      <c r="B7" s="156" t="s">
        <v>732</v>
      </c>
      <c r="C7" s="260" t="s">
        <v>177</v>
      </c>
      <c r="D7" s="260" t="s">
        <v>516</v>
      </c>
      <c r="E7" s="260" t="s">
        <v>734</v>
      </c>
      <c r="F7" s="260" t="s">
        <v>250</v>
      </c>
      <c r="G7" s="170">
        <v>3</v>
      </c>
      <c r="H7" s="170" t="s">
        <v>517</v>
      </c>
      <c r="I7" s="247" t="s">
        <v>792</v>
      </c>
      <c r="J7" s="170" t="s">
        <v>518</v>
      </c>
      <c r="K7" s="170" t="s">
        <v>519</v>
      </c>
      <c r="L7" s="171">
        <v>10</v>
      </c>
      <c r="M7" s="171">
        <v>0.3</v>
      </c>
      <c r="N7" s="172">
        <f t="shared" si="0"/>
        <v>3</v>
      </c>
      <c r="O7" s="173"/>
      <c r="P7" s="171"/>
      <c r="Q7" s="185"/>
      <c r="AL7" s="39"/>
      <c r="AM7" s="174"/>
    </row>
    <row r="8" spans="1:39" s="31" customFormat="1" ht="165.75" hidden="1" x14ac:dyDescent="0.2">
      <c r="A8" s="191" t="s">
        <v>642</v>
      </c>
      <c r="B8" s="156" t="s">
        <v>732</v>
      </c>
      <c r="C8" s="260" t="s">
        <v>644</v>
      </c>
      <c r="D8" s="260" t="s">
        <v>526</v>
      </c>
      <c r="E8" s="260" t="s">
        <v>733</v>
      </c>
      <c r="F8" s="260" t="s">
        <v>250</v>
      </c>
      <c r="G8" s="170">
        <v>4</v>
      </c>
      <c r="H8" s="170" t="s">
        <v>528</v>
      </c>
      <c r="I8" s="247" t="s">
        <v>793</v>
      </c>
      <c r="J8" s="170" t="s">
        <v>518</v>
      </c>
      <c r="K8" s="170" t="s">
        <v>529</v>
      </c>
      <c r="L8" s="171">
        <v>10</v>
      </c>
      <c r="M8" s="171">
        <v>1</v>
      </c>
      <c r="N8" s="172">
        <f t="shared" si="0"/>
        <v>10</v>
      </c>
      <c r="O8" s="173"/>
      <c r="P8" s="171"/>
      <c r="Q8" s="185"/>
      <c r="AL8" s="39"/>
      <c r="AM8" s="174"/>
    </row>
    <row r="9" spans="1:39" s="31" customFormat="1" ht="229.5" hidden="1" x14ac:dyDescent="0.2">
      <c r="A9" s="191" t="s">
        <v>642</v>
      </c>
      <c r="B9" s="156" t="s">
        <v>189</v>
      </c>
      <c r="C9" s="260" t="s">
        <v>189</v>
      </c>
      <c r="D9" s="260" t="s">
        <v>244</v>
      </c>
      <c r="E9" s="260" t="s">
        <v>505</v>
      </c>
      <c r="F9" s="260" t="s">
        <v>243</v>
      </c>
      <c r="G9" s="170">
        <v>4</v>
      </c>
      <c r="H9" s="170" t="s">
        <v>535</v>
      </c>
      <c r="I9" s="247" t="s">
        <v>794</v>
      </c>
      <c r="J9" s="170" t="s">
        <v>536</v>
      </c>
      <c r="K9" s="170" t="s">
        <v>240</v>
      </c>
      <c r="L9" s="171">
        <v>3</v>
      </c>
      <c r="M9" s="171">
        <v>1</v>
      </c>
      <c r="N9" s="172">
        <f t="shared" si="0"/>
        <v>3</v>
      </c>
      <c r="O9" s="170"/>
      <c r="P9" s="171"/>
      <c r="Q9" s="185"/>
      <c r="AL9" s="39"/>
      <c r="AM9" s="174"/>
    </row>
    <row r="10" spans="1:39" s="31" customFormat="1" ht="270" hidden="1" x14ac:dyDescent="0.2">
      <c r="A10" s="191" t="s">
        <v>642</v>
      </c>
      <c r="B10" s="156" t="s">
        <v>731</v>
      </c>
      <c r="C10" s="260" t="s">
        <v>174</v>
      </c>
      <c r="D10" s="260" t="s">
        <v>735</v>
      </c>
      <c r="E10" s="260" t="s">
        <v>537</v>
      </c>
      <c r="F10" s="260" t="s">
        <v>248</v>
      </c>
      <c r="G10" s="170">
        <v>3</v>
      </c>
      <c r="H10" s="170" t="s">
        <v>538</v>
      </c>
      <c r="I10" s="249" t="s">
        <v>795</v>
      </c>
      <c r="J10" s="170" t="s">
        <v>539</v>
      </c>
      <c r="K10" s="170" t="s">
        <v>279</v>
      </c>
      <c r="L10" s="171"/>
      <c r="M10" s="171"/>
      <c r="N10" s="172">
        <f t="shared" si="0"/>
        <v>0</v>
      </c>
      <c r="O10" s="173"/>
      <c r="P10" s="171"/>
      <c r="Q10" s="185"/>
      <c r="AL10" s="39"/>
      <c r="AM10" s="174"/>
    </row>
    <row r="11" spans="1:39" s="31" customFormat="1" ht="202.5" hidden="1" x14ac:dyDescent="0.2">
      <c r="A11" s="191" t="s">
        <v>642</v>
      </c>
      <c r="B11" s="155" t="s">
        <v>202</v>
      </c>
      <c r="C11" s="260" t="s">
        <v>193</v>
      </c>
      <c r="D11" s="260" t="s">
        <v>271</v>
      </c>
      <c r="E11" s="260" t="s">
        <v>548</v>
      </c>
      <c r="F11" s="260" t="s">
        <v>416</v>
      </c>
      <c r="G11" s="170">
        <v>3</v>
      </c>
      <c r="H11" s="170" t="s">
        <v>549</v>
      </c>
      <c r="I11" s="249" t="s">
        <v>796</v>
      </c>
      <c r="J11" s="170" t="s">
        <v>550</v>
      </c>
      <c r="K11" s="170" t="s">
        <v>272</v>
      </c>
      <c r="L11" s="171">
        <v>3</v>
      </c>
      <c r="M11" s="171">
        <v>1</v>
      </c>
      <c r="N11" s="172">
        <f t="shared" si="0"/>
        <v>3</v>
      </c>
      <c r="O11" s="173"/>
      <c r="P11" s="171"/>
      <c r="Q11" s="185"/>
      <c r="AL11" s="39"/>
      <c r="AM11" s="174"/>
    </row>
    <row r="12" spans="1:39" s="31" customFormat="1" ht="189" hidden="1" x14ac:dyDescent="0.2">
      <c r="A12" s="191" t="s">
        <v>642</v>
      </c>
      <c r="B12" s="155" t="s">
        <v>203</v>
      </c>
      <c r="C12" s="260" t="s">
        <v>206</v>
      </c>
      <c r="D12" s="260" t="s">
        <v>387</v>
      </c>
      <c r="E12" s="260" t="s">
        <v>551</v>
      </c>
      <c r="F12" s="260" t="s">
        <v>416</v>
      </c>
      <c r="G12" s="170"/>
      <c r="H12" s="170" t="s">
        <v>552</v>
      </c>
      <c r="I12" s="249" t="s">
        <v>797</v>
      </c>
      <c r="J12" s="170" t="s">
        <v>553</v>
      </c>
      <c r="K12" s="170" t="s">
        <v>554</v>
      </c>
      <c r="L12" s="171">
        <v>3</v>
      </c>
      <c r="M12" s="171">
        <v>1</v>
      </c>
      <c r="N12" s="172">
        <f t="shared" si="0"/>
        <v>3</v>
      </c>
      <c r="O12" s="173"/>
      <c r="P12" s="171"/>
      <c r="Q12" s="185"/>
      <c r="AL12" s="39"/>
      <c r="AM12" s="174"/>
    </row>
    <row r="13" spans="1:39" s="31" customFormat="1" ht="270" hidden="1" x14ac:dyDescent="0.2">
      <c r="A13" s="191" t="s">
        <v>642</v>
      </c>
      <c r="B13" s="156" t="s">
        <v>207</v>
      </c>
      <c r="C13" s="260" t="s">
        <v>684</v>
      </c>
      <c r="D13" s="260" t="s">
        <v>286</v>
      </c>
      <c r="E13" s="260" t="s">
        <v>557</v>
      </c>
      <c r="F13" s="260" t="s">
        <v>287</v>
      </c>
      <c r="G13" s="170">
        <v>3</v>
      </c>
      <c r="H13" s="170" t="s">
        <v>558</v>
      </c>
      <c r="I13" s="249" t="s">
        <v>798</v>
      </c>
      <c r="J13" s="170" t="s">
        <v>559</v>
      </c>
      <c r="K13" s="170" t="s">
        <v>369</v>
      </c>
      <c r="L13" s="171">
        <v>10</v>
      </c>
      <c r="M13" s="171">
        <v>1</v>
      </c>
      <c r="N13" s="172">
        <f t="shared" si="0"/>
        <v>10</v>
      </c>
      <c r="O13" s="173"/>
      <c r="P13" s="171"/>
      <c r="Q13" s="185"/>
      <c r="AL13" s="39"/>
      <c r="AM13" s="174"/>
    </row>
    <row r="14" spans="1:39" s="31" customFormat="1" ht="270" hidden="1" x14ac:dyDescent="0.2">
      <c r="A14" s="191" t="s">
        <v>642</v>
      </c>
      <c r="B14" s="156" t="s">
        <v>207</v>
      </c>
      <c r="C14" s="260" t="s">
        <v>208</v>
      </c>
      <c r="D14" s="260" t="s">
        <v>509</v>
      </c>
      <c r="E14" s="260" t="s">
        <v>508</v>
      </c>
      <c r="F14" s="260" t="s">
        <v>248</v>
      </c>
      <c r="G14" s="170">
        <v>3</v>
      </c>
      <c r="H14" s="170" t="s">
        <v>510</v>
      </c>
      <c r="I14" s="249" t="s">
        <v>798</v>
      </c>
      <c r="J14" s="170" t="s">
        <v>474</v>
      </c>
      <c r="K14" s="170" t="s">
        <v>279</v>
      </c>
      <c r="L14" s="171">
        <v>3</v>
      </c>
      <c r="M14" s="171">
        <v>0.3</v>
      </c>
      <c r="N14" s="172">
        <f t="shared" si="0"/>
        <v>0.89999999999999991</v>
      </c>
      <c r="O14" s="173"/>
      <c r="P14" s="171"/>
      <c r="Q14" s="185"/>
      <c r="AL14" s="39"/>
      <c r="AM14" s="174"/>
    </row>
    <row r="15" spans="1:39" s="31" customFormat="1" ht="189" hidden="1" x14ac:dyDescent="0.2">
      <c r="A15" s="191" t="s">
        <v>642</v>
      </c>
      <c r="B15" s="156" t="s">
        <v>209</v>
      </c>
      <c r="C15" s="260" t="s">
        <v>210</v>
      </c>
      <c r="D15" s="260" t="s">
        <v>288</v>
      </c>
      <c r="E15" s="260" t="s">
        <v>560</v>
      </c>
      <c r="F15" s="260" t="s">
        <v>452</v>
      </c>
      <c r="G15" s="170">
        <v>3</v>
      </c>
      <c r="H15" s="170" t="s">
        <v>424</v>
      </c>
      <c r="I15" s="247" t="s">
        <v>799</v>
      </c>
      <c r="J15" s="170" t="s">
        <v>561</v>
      </c>
      <c r="K15" s="170" t="s">
        <v>289</v>
      </c>
      <c r="L15" s="171">
        <v>10</v>
      </c>
      <c r="M15" s="171">
        <v>1</v>
      </c>
      <c r="N15" s="172">
        <f t="shared" si="0"/>
        <v>10</v>
      </c>
      <c r="O15" s="173" t="s">
        <v>295</v>
      </c>
      <c r="P15" s="171" t="s">
        <v>260</v>
      </c>
      <c r="Q15" s="185" t="s">
        <v>239</v>
      </c>
      <c r="AL15" s="39"/>
      <c r="AM15" s="174"/>
    </row>
    <row r="16" spans="1:39" s="31" customFormat="1" ht="108" hidden="1" x14ac:dyDescent="0.2">
      <c r="A16" s="191" t="s">
        <v>642</v>
      </c>
      <c r="B16" s="156" t="s">
        <v>216</v>
      </c>
      <c r="C16" s="260" t="s">
        <v>217</v>
      </c>
      <c r="D16" s="260" t="s">
        <v>355</v>
      </c>
      <c r="E16" s="260" t="s">
        <v>457</v>
      </c>
      <c r="F16" s="260" t="s">
        <v>296</v>
      </c>
      <c r="G16" s="170">
        <v>3</v>
      </c>
      <c r="H16" s="170" t="s">
        <v>294</v>
      </c>
      <c r="I16" s="249" t="s">
        <v>800</v>
      </c>
      <c r="J16" s="170" t="s">
        <v>458</v>
      </c>
      <c r="K16" s="170" t="s">
        <v>386</v>
      </c>
      <c r="L16" s="171">
        <v>3</v>
      </c>
      <c r="M16" s="171">
        <v>0.3</v>
      </c>
      <c r="N16" s="172">
        <f t="shared" si="0"/>
        <v>0.89999999999999991</v>
      </c>
      <c r="O16" s="173"/>
      <c r="P16" s="171"/>
      <c r="Q16" s="185"/>
      <c r="AL16" s="39"/>
      <c r="AM16" s="174"/>
    </row>
    <row r="17" spans="1:39" s="31" customFormat="1" ht="148.5" hidden="1" x14ac:dyDescent="0.2">
      <c r="A17" s="191" t="s">
        <v>642</v>
      </c>
      <c r="B17" s="156" t="s">
        <v>218</v>
      </c>
      <c r="C17" s="260" t="s">
        <v>686</v>
      </c>
      <c r="D17" s="260" t="s">
        <v>462</v>
      </c>
      <c r="E17" s="260" t="s">
        <v>464</v>
      </c>
      <c r="F17" s="260" t="s">
        <v>465</v>
      </c>
      <c r="G17" s="170">
        <v>4</v>
      </c>
      <c r="H17" s="170" t="s">
        <v>298</v>
      </c>
      <c r="I17" s="247" t="s">
        <v>801</v>
      </c>
      <c r="J17" s="170" t="s">
        <v>685</v>
      </c>
      <c r="K17" s="170" t="s">
        <v>420</v>
      </c>
      <c r="L17" s="171">
        <v>3</v>
      </c>
      <c r="M17" s="171">
        <v>0.3</v>
      </c>
      <c r="N17" s="172">
        <f t="shared" si="0"/>
        <v>0.89999999999999991</v>
      </c>
      <c r="O17" s="173"/>
      <c r="P17" s="171"/>
      <c r="Q17" s="185"/>
      <c r="AL17" s="39"/>
      <c r="AM17" s="174"/>
    </row>
    <row r="18" spans="1:39" s="31" customFormat="1" ht="162" hidden="1" x14ac:dyDescent="0.2">
      <c r="A18" s="191" t="s">
        <v>642</v>
      </c>
      <c r="B18" s="156" t="s">
        <v>220</v>
      </c>
      <c r="C18" s="260" t="s">
        <v>802</v>
      </c>
      <c r="D18" s="260" t="s">
        <v>466</v>
      </c>
      <c r="E18" s="260" t="s">
        <v>297</v>
      </c>
      <c r="F18" s="260" t="s">
        <v>467</v>
      </c>
      <c r="G18" s="170">
        <v>4</v>
      </c>
      <c r="H18" s="170" t="s">
        <v>299</v>
      </c>
      <c r="I18" s="247" t="s">
        <v>803</v>
      </c>
      <c r="J18" s="170" t="s">
        <v>302</v>
      </c>
      <c r="K18" s="170" t="s">
        <v>304</v>
      </c>
      <c r="L18" s="171">
        <v>10</v>
      </c>
      <c r="M18" s="171">
        <v>0.3</v>
      </c>
      <c r="N18" s="172">
        <f t="shared" si="0"/>
        <v>3</v>
      </c>
      <c r="O18" s="173"/>
      <c r="P18" s="171"/>
      <c r="Q18" s="185"/>
      <c r="AL18" s="39"/>
      <c r="AM18" s="174"/>
    </row>
    <row r="19" spans="1:39" s="31" customFormat="1" ht="189" hidden="1" x14ac:dyDescent="0.2">
      <c r="A19" s="191" t="s">
        <v>642</v>
      </c>
      <c r="B19" s="155" t="s">
        <v>223</v>
      </c>
      <c r="C19" s="260" t="s">
        <v>224</v>
      </c>
      <c r="D19" s="260" t="s">
        <v>473</v>
      </c>
      <c r="E19" s="260" t="s">
        <v>431</v>
      </c>
      <c r="F19" s="260" t="s">
        <v>395</v>
      </c>
      <c r="G19" s="170">
        <v>3</v>
      </c>
      <c r="H19" s="170" t="s">
        <v>299</v>
      </c>
      <c r="I19" s="247" t="s">
        <v>804</v>
      </c>
      <c r="J19" s="170" t="s">
        <v>432</v>
      </c>
      <c r="K19" s="170" t="s">
        <v>396</v>
      </c>
      <c r="L19" s="171">
        <v>10</v>
      </c>
      <c r="M19" s="171">
        <v>1</v>
      </c>
      <c r="N19" s="172">
        <f t="shared" si="0"/>
        <v>10</v>
      </c>
      <c r="O19" s="173"/>
      <c r="P19" s="171"/>
      <c r="Q19" s="185"/>
      <c r="AL19" s="39"/>
      <c r="AM19" s="174"/>
    </row>
    <row r="20" spans="1:39" s="31" customFormat="1" ht="189" hidden="1" x14ac:dyDescent="0.2">
      <c r="A20" s="191" t="s">
        <v>642</v>
      </c>
      <c r="B20" s="156" t="s">
        <v>227</v>
      </c>
      <c r="C20" s="260" t="s">
        <v>224</v>
      </c>
      <c r="D20" s="260" t="s">
        <v>473</v>
      </c>
      <c r="E20" s="260" t="s">
        <v>433</v>
      </c>
      <c r="F20" s="260" t="s">
        <v>307</v>
      </c>
      <c r="G20" s="170">
        <v>4</v>
      </c>
      <c r="H20" s="170" t="s">
        <v>299</v>
      </c>
      <c r="I20" s="247" t="s">
        <v>804</v>
      </c>
      <c r="J20" s="170" t="s">
        <v>434</v>
      </c>
      <c r="K20" s="170" t="s">
        <v>405</v>
      </c>
      <c r="L20" s="171">
        <v>10</v>
      </c>
      <c r="M20" s="171">
        <v>1</v>
      </c>
      <c r="N20" s="172">
        <f t="shared" si="0"/>
        <v>10</v>
      </c>
      <c r="O20" s="173"/>
      <c r="P20" s="171"/>
      <c r="Q20" s="185"/>
      <c r="AL20" s="39"/>
      <c r="AM20" s="174"/>
    </row>
    <row r="21" spans="1:39" s="31" customFormat="1" ht="189" hidden="1" x14ac:dyDescent="0.2">
      <c r="A21" s="245" t="s">
        <v>750</v>
      </c>
      <c r="B21" s="156" t="s">
        <v>625</v>
      </c>
      <c r="C21" s="260" t="s">
        <v>204</v>
      </c>
      <c r="D21" s="260" t="s">
        <v>334</v>
      </c>
      <c r="E21" s="260" t="s">
        <v>332</v>
      </c>
      <c r="F21" s="260" t="s">
        <v>439</v>
      </c>
      <c r="G21" s="170">
        <v>4</v>
      </c>
      <c r="H21" s="170" t="s">
        <v>481</v>
      </c>
      <c r="I21" s="247" t="s">
        <v>804</v>
      </c>
      <c r="J21" s="170" t="s">
        <v>341</v>
      </c>
      <c r="K21" s="170"/>
      <c r="L21" s="171">
        <v>10</v>
      </c>
      <c r="M21" s="171">
        <v>1</v>
      </c>
      <c r="N21" s="172">
        <f t="shared" ref="N21" si="1">L21*M21</f>
        <v>10</v>
      </c>
      <c r="O21" s="173"/>
      <c r="P21" s="171"/>
      <c r="Q21" s="185"/>
      <c r="AL21" s="39"/>
      <c r="AM21" s="174"/>
    </row>
    <row r="22" spans="1:39" s="31" customFormat="1" ht="189" hidden="1" x14ac:dyDescent="0.2">
      <c r="A22" s="245" t="s">
        <v>750</v>
      </c>
      <c r="B22" s="156" t="s">
        <v>736</v>
      </c>
      <c r="C22" s="260" t="s">
        <v>737</v>
      </c>
      <c r="D22" s="260" t="s">
        <v>334</v>
      </c>
      <c r="E22" s="260" t="s">
        <v>738</v>
      </c>
      <c r="F22" s="260" t="s">
        <v>739</v>
      </c>
      <c r="G22" s="170">
        <v>4</v>
      </c>
      <c r="H22" s="170" t="s">
        <v>481</v>
      </c>
      <c r="I22" s="247" t="s">
        <v>804</v>
      </c>
      <c r="J22" s="170" t="s">
        <v>740</v>
      </c>
      <c r="K22" s="170"/>
      <c r="L22" s="171">
        <v>10</v>
      </c>
      <c r="M22" s="171">
        <v>1</v>
      </c>
      <c r="N22" s="172">
        <f t="shared" si="0"/>
        <v>10</v>
      </c>
      <c r="O22" s="173"/>
      <c r="P22" s="171"/>
      <c r="Q22" s="185"/>
      <c r="AL22" s="39"/>
      <c r="AM22" s="174"/>
    </row>
    <row r="23" spans="1:39" s="31" customFormat="1" ht="216" hidden="1" x14ac:dyDescent="0.2">
      <c r="A23" s="191" t="s">
        <v>642</v>
      </c>
      <c r="B23" s="240" t="s">
        <v>235</v>
      </c>
      <c r="C23" s="260" t="s">
        <v>174</v>
      </c>
      <c r="D23" s="260" t="s">
        <v>301</v>
      </c>
      <c r="E23" s="260" t="s">
        <v>440</v>
      </c>
      <c r="F23" s="260" t="s">
        <v>441</v>
      </c>
      <c r="G23" s="170">
        <v>3</v>
      </c>
      <c r="H23" s="170" t="s">
        <v>299</v>
      </c>
      <c r="I23" s="249" t="s">
        <v>795</v>
      </c>
      <c r="J23" s="170" t="s">
        <v>474</v>
      </c>
      <c r="K23" s="170" t="s">
        <v>245</v>
      </c>
      <c r="L23" s="171">
        <v>10</v>
      </c>
      <c r="M23" s="171">
        <v>1</v>
      </c>
      <c r="N23" s="172">
        <f t="shared" si="0"/>
        <v>10</v>
      </c>
      <c r="O23" s="173"/>
      <c r="P23" s="171"/>
      <c r="Q23" s="185"/>
      <c r="AL23" s="39"/>
      <c r="AM23" s="174"/>
    </row>
    <row r="24" spans="1:39" s="31" customFormat="1" ht="162" hidden="1" x14ac:dyDescent="0.2">
      <c r="A24" s="191" t="s">
        <v>642</v>
      </c>
      <c r="B24" s="156" t="s">
        <v>690</v>
      </c>
      <c r="C24" s="260" t="s">
        <v>689</v>
      </c>
      <c r="D24" s="260" t="s">
        <v>655</v>
      </c>
      <c r="E24" s="260" t="s">
        <v>656</v>
      </c>
      <c r="F24" s="260" t="s">
        <v>657</v>
      </c>
      <c r="G24" s="195">
        <v>4</v>
      </c>
      <c r="H24" s="194" t="s">
        <v>658</v>
      </c>
      <c r="I24" s="250" t="s">
        <v>805</v>
      </c>
      <c r="J24" s="194" t="s">
        <v>659</v>
      </c>
      <c r="K24" s="194" t="s">
        <v>660</v>
      </c>
      <c r="L24" s="195">
        <v>10</v>
      </c>
      <c r="M24" s="195">
        <v>1</v>
      </c>
      <c r="N24" s="230">
        <f t="shared" si="0"/>
        <v>10</v>
      </c>
      <c r="O24" s="196"/>
      <c r="P24" s="195"/>
      <c r="Q24" s="197"/>
      <c r="R24" s="51"/>
      <c r="S24" s="51"/>
      <c r="T24" s="51"/>
      <c r="U24" s="51"/>
      <c r="V24" s="51"/>
      <c r="W24" s="51"/>
      <c r="X24" s="51"/>
      <c r="Y24" s="51"/>
      <c r="Z24" s="51"/>
      <c r="AA24" s="51"/>
      <c r="AB24" s="51"/>
      <c r="AC24" s="51"/>
      <c r="AD24" s="51"/>
      <c r="AE24" s="51"/>
      <c r="AF24" s="51"/>
      <c r="AG24" s="51"/>
      <c r="AH24" s="51"/>
      <c r="AI24" s="51"/>
      <c r="AJ24" s="51"/>
      <c r="AK24" s="51"/>
      <c r="AL24" s="51"/>
      <c r="AM24" s="51"/>
    </row>
    <row r="25" spans="1:39" s="31" customFormat="1" ht="135" hidden="1" x14ac:dyDescent="0.2">
      <c r="A25" s="191" t="s">
        <v>642</v>
      </c>
      <c r="B25" s="156" t="s">
        <v>690</v>
      </c>
      <c r="C25" s="260" t="s">
        <v>170</v>
      </c>
      <c r="D25" s="260" t="s">
        <v>676</v>
      </c>
      <c r="E25" s="260" t="s">
        <v>677</v>
      </c>
      <c r="F25" s="260" t="s">
        <v>678</v>
      </c>
      <c r="G25" s="195">
        <v>5</v>
      </c>
      <c r="H25" s="194" t="s">
        <v>679</v>
      </c>
      <c r="I25" s="250" t="s">
        <v>801</v>
      </c>
      <c r="J25" s="194" t="s">
        <v>680</v>
      </c>
      <c r="K25" s="194" t="s">
        <v>681</v>
      </c>
      <c r="L25" s="195">
        <v>3</v>
      </c>
      <c r="M25" s="195">
        <v>0.3</v>
      </c>
      <c r="N25" s="230">
        <f t="shared" si="0"/>
        <v>0.89999999999999991</v>
      </c>
      <c r="O25" s="196"/>
      <c r="P25" s="195"/>
      <c r="Q25" s="197"/>
      <c r="R25" s="51"/>
      <c r="S25" s="51"/>
      <c r="T25" s="51"/>
      <c r="U25" s="51"/>
      <c r="V25" s="51"/>
      <c r="W25" s="51"/>
      <c r="X25" s="51"/>
      <c r="Y25" s="51"/>
      <c r="Z25" s="51"/>
      <c r="AA25" s="51"/>
      <c r="AB25" s="51"/>
      <c r="AC25" s="51"/>
      <c r="AD25" s="51"/>
      <c r="AE25" s="51"/>
      <c r="AF25" s="51"/>
      <c r="AG25" s="51"/>
      <c r="AH25" s="51"/>
      <c r="AI25" s="51"/>
      <c r="AJ25" s="51"/>
      <c r="AK25" s="51"/>
      <c r="AL25" s="51"/>
      <c r="AM25" s="51"/>
    </row>
    <row r="26" spans="1:39" s="31" customFormat="1" ht="297" hidden="1" x14ac:dyDescent="0.2">
      <c r="A26" s="191" t="s">
        <v>688</v>
      </c>
      <c r="B26" s="156" t="s">
        <v>235</v>
      </c>
      <c r="C26" s="260" t="s">
        <v>237</v>
      </c>
      <c r="D26" s="260" t="s">
        <v>468</v>
      </c>
      <c r="E26" s="260" t="s">
        <v>318</v>
      </c>
      <c r="F26" s="260" t="s">
        <v>307</v>
      </c>
      <c r="G26" s="170">
        <v>4</v>
      </c>
      <c r="H26" s="170" t="s">
        <v>299</v>
      </c>
      <c r="I26" s="248" t="s">
        <v>806</v>
      </c>
      <c r="J26" s="170" t="s">
        <v>485</v>
      </c>
      <c r="K26" s="170" t="s">
        <v>405</v>
      </c>
      <c r="L26" s="171">
        <v>10</v>
      </c>
      <c r="M26" s="171">
        <v>1</v>
      </c>
      <c r="N26" s="172">
        <f t="shared" si="0"/>
        <v>10</v>
      </c>
      <c r="O26" s="173"/>
      <c r="P26" s="171"/>
      <c r="Q26" s="185"/>
      <c r="AL26" s="39"/>
      <c r="AM26" s="174"/>
    </row>
    <row r="27" spans="1:39" s="31" customFormat="1" ht="283.5" hidden="1" x14ac:dyDescent="0.2">
      <c r="A27" s="191" t="s">
        <v>638</v>
      </c>
      <c r="B27" s="156" t="s">
        <v>352</v>
      </c>
      <c r="C27" s="260" t="s">
        <v>807</v>
      </c>
      <c r="D27" s="260" t="s">
        <v>447</v>
      </c>
      <c r="E27" s="260" t="s">
        <v>353</v>
      </c>
      <c r="F27" s="260" t="s">
        <v>350</v>
      </c>
      <c r="G27" s="170">
        <v>2</v>
      </c>
      <c r="H27" s="170" t="s">
        <v>491</v>
      </c>
      <c r="I27" s="249" t="s">
        <v>808</v>
      </c>
      <c r="J27" s="170" t="s">
        <v>354</v>
      </c>
      <c r="K27" s="170" t="s">
        <v>349</v>
      </c>
      <c r="L27" s="171">
        <v>3</v>
      </c>
      <c r="M27" s="171">
        <v>0.3</v>
      </c>
      <c r="N27" s="172">
        <f t="shared" si="0"/>
        <v>0.89999999999999991</v>
      </c>
      <c r="O27" s="173"/>
      <c r="P27" s="171"/>
      <c r="Q27" s="185"/>
    </row>
    <row r="28" spans="1:39" s="31" customFormat="1" ht="189" hidden="1" x14ac:dyDescent="0.2">
      <c r="A28" s="191" t="s">
        <v>638</v>
      </c>
      <c r="B28" s="156" t="s">
        <v>358</v>
      </c>
      <c r="C28" s="260" t="s">
        <v>168</v>
      </c>
      <c r="D28" s="260" t="s">
        <v>493</v>
      </c>
      <c r="E28" s="260" t="s">
        <v>353</v>
      </c>
      <c r="F28" s="260" t="s">
        <v>360</v>
      </c>
      <c r="G28" s="170">
        <v>2</v>
      </c>
      <c r="H28" s="170" t="s">
        <v>494</v>
      </c>
      <c r="I28" s="249" t="s">
        <v>809</v>
      </c>
      <c r="J28" s="170" t="s">
        <v>495</v>
      </c>
      <c r="K28" s="170" t="s">
        <v>359</v>
      </c>
      <c r="L28" s="171">
        <v>3</v>
      </c>
      <c r="M28" s="171">
        <v>1</v>
      </c>
      <c r="N28" s="172">
        <f t="shared" ref="N28:N48" si="2">L28*M28</f>
        <v>3</v>
      </c>
      <c r="O28" s="173"/>
      <c r="P28" s="171"/>
      <c r="Q28" s="185"/>
    </row>
    <row r="29" spans="1:39" s="31" customFormat="1" ht="270" hidden="1" x14ac:dyDescent="0.2">
      <c r="A29" s="191" t="s">
        <v>638</v>
      </c>
      <c r="B29" s="156" t="s">
        <v>175</v>
      </c>
      <c r="C29" s="260" t="s">
        <v>174</v>
      </c>
      <c r="D29" s="260" t="s">
        <v>509</v>
      </c>
      <c r="E29" s="260" t="s">
        <v>508</v>
      </c>
      <c r="F29" s="260" t="s">
        <v>248</v>
      </c>
      <c r="G29" s="170">
        <v>4</v>
      </c>
      <c r="H29" s="170" t="s">
        <v>510</v>
      </c>
      <c r="I29" s="249" t="s">
        <v>798</v>
      </c>
      <c r="J29" s="170" t="s">
        <v>511</v>
      </c>
      <c r="K29" s="170" t="s">
        <v>374</v>
      </c>
      <c r="L29" s="171">
        <v>3</v>
      </c>
      <c r="M29" s="171">
        <v>1</v>
      </c>
      <c r="N29" s="172">
        <f t="shared" si="2"/>
        <v>3</v>
      </c>
      <c r="O29" s="173"/>
      <c r="P29" s="171"/>
      <c r="Q29" s="185"/>
      <c r="AL29" s="39"/>
      <c r="AM29" s="174"/>
    </row>
    <row r="30" spans="1:39" s="31" customFormat="1" ht="140.25" hidden="1" x14ac:dyDescent="0.2">
      <c r="A30" s="191" t="s">
        <v>638</v>
      </c>
      <c r="B30" s="156" t="s">
        <v>178</v>
      </c>
      <c r="C30" s="260" t="s">
        <v>171</v>
      </c>
      <c r="D30" s="260" t="s">
        <v>506</v>
      </c>
      <c r="E30" s="260" t="s">
        <v>335</v>
      </c>
      <c r="F30" s="260" t="s">
        <v>372</v>
      </c>
      <c r="G30" s="170">
        <v>3</v>
      </c>
      <c r="H30" s="170" t="s">
        <v>335</v>
      </c>
      <c r="I30" s="247" t="s">
        <v>810</v>
      </c>
      <c r="J30" s="170" t="s">
        <v>843</v>
      </c>
      <c r="K30" s="170" t="s">
        <v>513</v>
      </c>
      <c r="L30" s="171">
        <v>3</v>
      </c>
      <c r="M30" s="171">
        <v>0.3</v>
      </c>
      <c r="N30" s="172">
        <f t="shared" si="2"/>
        <v>0.89999999999999991</v>
      </c>
      <c r="O30" s="173"/>
      <c r="P30" s="171"/>
      <c r="Q30" s="185"/>
      <c r="AL30" s="39"/>
      <c r="AM30" s="174"/>
    </row>
    <row r="31" spans="1:39" s="31" customFormat="1" ht="148.5" hidden="1" x14ac:dyDescent="0.2">
      <c r="A31" s="191" t="s">
        <v>638</v>
      </c>
      <c r="B31" s="156" t="s">
        <v>178</v>
      </c>
      <c r="C31" s="260" t="s">
        <v>176</v>
      </c>
      <c r="D31" s="260" t="s">
        <v>514</v>
      </c>
      <c r="E31" s="260" t="s">
        <v>335</v>
      </c>
      <c r="F31" s="260" t="s">
        <v>372</v>
      </c>
      <c r="G31" s="170">
        <v>4</v>
      </c>
      <c r="H31" s="170" t="s">
        <v>335</v>
      </c>
      <c r="I31" s="247" t="s">
        <v>811</v>
      </c>
      <c r="J31" s="170" t="s">
        <v>844</v>
      </c>
      <c r="K31" s="170" t="s">
        <v>515</v>
      </c>
      <c r="L31" s="171">
        <v>10</v>
      </c>
      <c r="M31" s="171">
        <v>0.3</v>
      </c>
      <c r="N31" s="172">
        <f t="shared" si="2"/>
        <v>3</v>
      </c>
      <c r="O31" s="173"/>
      <c r="P31" s="171"/>
      <c r="Q31" s="185"/>
      <c r="AL31" s="39"/>
      <c r="AM31" s="174"/>
    </row>
    <row r="32" spans="1:39" s="31" customFormat="1" ht="229.5" hidden="1" x14ac:dyDescent="0.2">
      <c r="A32" s="191" t="s">
        <v>638</v>
      </c>
      <c r="B32" s="156" t="s">
        <v>191</v>
      </c>
      <c r="C32" s="260" t="s">
        <v>184</v>
      </c>
      <c r="D32" s="260" t="s">
        <v>389</v>
      </c>
      <c r="E32" s="260" t="s">
        <v>425</v>
      </c>
      <c r="F32" s="260" t="s">
        <v>390</v>
      </c>
      <c r="G32" s="170">
        <v>4</v>
      </c>
      <c r="H32" s="173" t="s">
        <v>259</v>
      </c>
      <c r="I32" s="247" t="s">
        <v>812</v>
      </c>
      <c r="J32" s="173" t="s">
        <v>523</v>
      </c>
      <c r="K32" s="170" t="s">
        <v>524</v>
      </c>
      <c r="L32" s="171">
        <v>10</v>
      </c>
      <c r="M32" s="171">
        <v>1</v>
      </c>
      <c r="N32" s="172">
        <f t="shared" si="2"/>
        <v>10</v>
      </c>
      <c r="O32" s="173"/>
      <c r="P32" s="171"/>
      <c r="Q32" s="185"/>
      <c r="AL32" s="39"/>
      <c r="AM32" s="174"/>
    </row>
    <row r="33" spans="1:39" s="31" customFormat="1" ht="216" hidden="1" x14ac:dyDescent="0.2">
      <c r="A33" s="191" t="s">
        <v>638</v>
      </c>
      <c r="B33" s="156" t="s">
        <v>191</v>
      </c>
      <c r="C33" s="260" t="s">
        <v>187</v>
      </c>
      <c r="D33" s="260" t="s">
        <v>846</v>
      </c>
      <c r="E33" s="260" t="s">
        <v>380</v>
      </c>
      <c r="F33" s="260" t="s">
        <v>531</v>
      </c>
      <c r="G33" s="170">
        <v>4</v>
      </c>
      <c r="H33" s="170" t="s">
        <v>379</v>
      </c>
      <c r="I33" s="247" t="s">
        <v>812</v>
      </c>
      <c r="J33" s="173" t="s">
        <v>845</v>
      </c>
      <c r="K33" s="170" t="s">
        <v>376</v>
      </c>
      <c r="L33" s="171">
        <v>3</v>
      </c>
      <c r="M33" s="171">
        <v>1</v>
      </c>
      <c r="N33" s="172">
        <f t="shared" si="2"/>
        <v>3</v>
      </c>
      <c r="O33" s="173"/>
      <c r="P33" s="171"/>
      <c r="Q33" s="185"/>
      <c r="AL33" s="39"/>
      <c r="AM33" s="174"/>
    </row>
    <row r="34" spans="1:39" s="31" customFormat="1" ht="243" hidden="1" x14ac:dyDescent="0.2">
      <c r="A34" s="191" t="s">
        <v>638</v>
      </c>
      <c r="B34" s="156" t="s">
        <v>191</v>
      </c>
      <c r="C34" s="260" t="s">
        <v>182</v>
      </c>
      <c r="D34" s="260" t="s">
        <v>522</v>
      </c>
      <c r="E34" s="260" t="s">
        <v>849</v>
      </c>
      <c r="F34" s="260" t="s">
        <v>848</v>
      </c>
      <c r="G34" s="170">
        <v>4</v>
      </c>
      <c r="H34" s="170" t="s">
        <v>455</v>
      </c>
      <c r="I34" s="248" t="s">
        <v>813</v>
      </c>
      <c r="J34" s="170" t="s">
        <v>847</v>
      </c>
      <c r="K34" s="170" t="s">
        <v>258</v>
      </c>
      <c r="L34" s="171">
        <v>10</v>
      </c>
      <c r="M34" s="171">
        <v>1</v>
      </c>
      <c r="N34" s="172">
        <f t="shared" si="2"/>
        <v>10</v>
      </c>
      <c r="O34" s="173"/>
      <c r="P34" s="171"/>
      <c r="Q34" s="185"/>
      <c r="AL34" s="39"/>
      <c r="AM34" s="174"/>
    </row>
    <row r="35" spans="1:39" s="31" customFormat="1" ht="310.5" hidden="1" x14ac:dyDescent="0.2">
      <c r="A35" s="191" t="s">
        <v>638</v>
      </c>
      <c r="B35" s="156" t="s">
        <v>192</v>
      </c>
      <c r="C35" s="260" t="s">
        <v>182</v>
      </c>
      <c r="D35" s="260" t="s">
        <v>270</v>
      </c>
      <c r="E35" s="260" t="s">
        <v>521</v>
      </c>
      <c r="F35" s="260" t="s">
        <v>522</v>
      </c>
      <c r="G35" s="170">
        <v>3</v>
      </c>
      <c r="H35" s="170" t="s">
        <v>455</v>
      </c>
      <c r="I35" s="248" t="s">
        <v>814</v>
      </c>
      <c r="J35" s="170" t="s">
        <v>411</v>
      </c>
      <c r="K35" s="170" t="s">
        <v>258</v>
      </c>
      <c r="L35" s="171">
        <v>10</v>
      </c>
      <c r="M35" s="171">
        <v>1</v>
      </c>
      <c r="N35" s="172">
        <f t="shared" si="2"/>
        <v>10</v>
      </c>
      <c r="O35" s="173"/>
      <c r="P35" s="171"/>
      <c r="Q35" s="185"/>
      <c r="AL35" s="39"/>
      <c r="AM35" s="174"/>
    </row>
    <row r="36" spans="1:39" s="31" customFormat="1" ht="175.5" hidden="1" x14ac:dyDescent="0.2">
      <c r="A36" s="191" t="s">
        <v>638</v>
      </c>
      <c r="B36" s="156" t="s">
        <v>211</v>
      </c>
      <c r="C36" s="260" t="s">
        <v>212</v>
      </c>
      <c r="D36" s="260" t="s">
        <v>389</v>
      </c>
      <c r="E36" s="260" t="s">
        <v>290</v>
      </c>
      <c r="F36" s="260" t="s">
        <v>394</v>
      </c>
      <c r="G36" s="170">
        <v>3</v>
      </c>
      <c r="H36" s="170" t="s">
        <v>290</v>
      </c>
      <c r="I36" s="247" t="s">
        <v>815</v>
      </c>
      <c r="J36" s="170" t="s">
        <v>850</v>
      </c>
      <c r="K36" s="170" t="s">
        <v>291</v>
      </c>
      <c r="L36" s="171">
        <v>10</v>
      </c>
      <c r="M36" s="171">
        <v>1</v>
      </c>
      <c r="N36" s="172">
        <f t="shared" si="2"/>
        <v>10</v>
      </c>
      <c r="O36" s="173"/>
      <c r="P36" s="171"/>
      <c r="Q36" s="185"/>
      <c r="AL36" s="39"/>
      <c r="AM36" s="174"/>
    </row>
    <row r="37" spans="1:39" s="31" customFormat="1" ht="310.5" hidden="1" x14ac:dyDescent="0.2">
      <c r="A37" s="191" t="s">
        <v>638</v>
      </c>
      <c r="B37" s="272" t="s">
        <v>223</v>
      </c>
      <c r="C37" s="260" t="s">
        <v>222</v>
      </c>
      <c r="D37" s="260" t="s">
        <v>468</v>
      </c>
      <c r="E37" s="260" t="s">
        <v>325</v>
      </c>
      <c r="F37" s="260" t="s">
        <v>307</v>
      </c>
      <c r="G37" s="170">
        <v>4</v>
      </c>
      <c r="H37" s="170" t="s">
        <v>299</v>
      </c>
      <c r="I37" s="248" t="s">
        <v>816</v>
      </c>
      <c r="J37" s="170" t="s">
        <v>469</v>
      </c>
      <c r="K37" s="170" t="s">
        <v>305</v>
      </c>
      <c r="L37" s="171">
        <v>10</v>
      </c>
      <c r="M37" s="171">
        <v>1</v>
      </c>
      <c r="N37" s="172">
        <f t="shared" si="2"/>
        <v>10</v>
      </c>
      <c r="O37" s="173"/>
      <c r="P37" s="171"/>
      <c r="Q37" s="185"/>
      <c r="AL37" s="39"/>
      <c r="AM37" s="174"/>
    </row>
    <row r="38" spans="1:39" s="31" customFormat="1" ht="162" hidden="1" x14ac:dyDescent="0.2">
      <c r="A38" s="191" t="s">
        <v>638</v>
      </c>
      <c r="B38" s="155" t="s">
        <v>223</v>
      </c>
      <c r="C38" s="260" t="s">
        <v>471</v>
      </c>
      <c r="D38" s="260" t="s">
        <v>470</v>
      </c>
      <c r="E38" s="260" t="s">
        <v>430</v>
      </c>
      <c r="F38" s="260" t="s">
        <v>307</v>
      </c>
      <c r="G38" s="170">
        <v>4</v>
      </c>
      <c r="H38" s="170" t="s">
        <v>299</v>
      </c>
      <c r="I38" s="248" t="s">
        <v>817</v>
      </c>
      <c r="J38" s="170" t="s">
        <v>472</v>
      </c>
      <c r="K38" s="170" t="s">
        <v>406</v>
      </c>
      <c r="L38" s="171">
        <v>10</v>
      </c>
      <c r="M38" s="171">
        <v>1</v>
      </c>
      <c r="N38" s="172">
        <f t="shared" si="2"/>
        <v>10</v>
      </c>
      <c r="O38" s="173"/>
      <c r="P38" s="171"/>
      <c r="Q38" s="185"/>
      <c r="AL38" s="39"/>
      <c r="AM38" s="174"/>
    </row>
    <row r="39" spans="1:39" s="31" customFormat="1" ht="310.5" x14ac:dyDescent="0.2">
      <c r="A39" s="191" t="s">
        <v>638</v>
      </c>
      <c r="B39" s="156" t="s">
        <v>227</v>
      </c>
      <c r="C39" s="260" t="s">
        <v>222</v>
      </c>
      <c r="D39" s="260" t="s">
        <v>468</v>
      </c>
      <c r="E39" s="260" t="s">
        <v>852</v>
      </c>
      <c r="F39" s="260" t="s">
        <v>307</v>
      </c>
      <c r="G39" s="170">
        <v>5</v>
      </c>
      <c r="H39" s="170" t="s">
        <v>299</v>
      </c>
      <c r="I39" s="248" t="s">
        <v>816</v>
      </c>
      <c r="J39" s="170" t="s">
        <v>475</v>
      </c>
      <c r="K39" s="170" t="s">
        <v>410</v>
      </c>
      <c r="L39" s="171">
        <v>10</v>
      </c>
      <c r="M39" s="171">
        <v>1</v>
      </c>
      <c r="N39" s="172">
        <f t="shared" si="2"/>
        <v>10</v>
      </c>
      <c r="O39" s="173"/>
      <c r="P39" s="171"/>
      <c r="Q39" s="185"/>
      <c r="AL39" s="39"/>
      <c r="AM39" s="174"/>
    </row>
    <row r="40" spans="1:39" s="31" customFormat="1" ht="148.5" hidden="1" x14ac:dyDescent="0.2">
      <c r="A40" s="191" t="s">
        <v>638</v>
      </c>
      <c r="B40" s="156" t="s">
        <v>227</v>
      </c>
      <c r="C40" s="260" t="s">
        <v>476</v>
      </c>
      <c r="D40" s="260" t="s">
        <v>473</v>
      </c>
      <c r="E40" s="260" t="s">
        <v>316</v>
      </c>
      <c r="F40" s="260" t="s">
        <v>319</v>
      </c>
      <c r="G40" s="170">
        <v>4</v>
      </c>
      <c r="H40" s="170" t="s">
        <v>317</v>
      </c>
      <c r="I40" s="248" t="s">
        <v>817</v>
      </c>
      <c r="J40" s="170" t="s">
        <v>851</v>
      </c>
      <c r="K40" s="170" t="s">
        <v>305</v>
      </c>
      <c r="L40" s="171">
        <v>10</v>
      </c>
      <c r="M40" s="171">
        <v>1</v>
      </c>
      <c r="N40" s="172">
        <f t="shared" si="2"/>
        <v>10</v>
      </c>
      <c r="O40" s="173"/>
      <c r="P40" s="171"/>
      <c r="Q40" s="185"/>
      <c r="AL40" s="39"/>
      <c r="AM40" s="174"/>
    </row>
    <row r="41" spans="1:39" s="31" customFormat="1" ht="297" hidden="1" x14ac:dyDescent="0.2">
      <c r="A41" s="191" t="s">
        <v>638</v>
      </c>
      <c r="B41" s="156" t="s">
        <v>623</v>
      </c>
      <c r="C41" s="260" t="s">
        <v>222</v>
      </c>
      <c r="D41" s="260" t="s">
        <v>854</v>
      </c>
      <c r="E41" s="260" t="s">
        <v>855</v>
      </c>
      <c r="F41" s="260" t="s">
        <v>326</v>
      </c>
      <c r="G41" s="170">
        <v>4</v>
      </c>
      <c r="H41" s="170" t="s">
        <v>327</v>
      </c>
      <c r="I41" s="248" t="s">
        <v>806</v>
      </c>
      <c r="J41" s="170" t="s">
        <v>856</v>
      </c>
      <c r="K41" s="170" t="s">
        <v>401</v>
      </c>
      <c r="L41" s="171">
        <v>10</v>
      </c>
      <c r="M41" s="171">
        <v>1</v>
      </c>
      <c r="N41" s="172">
        <f t="shared" si="2"/>
        <v>10</v>
      </c>
      <c r="O41" s="173"/>
      <c r="P41" s="171"/>
      <c r="Q41" s="185"/>
      <c r="AL41" s="39"/>
      <c r="AM41" s="174"/>
    </row>
    <row r="42" spans="1:39" s="31" customFormat="1" ht="148.5" hidden="1" x14ac:dyDescent="0.2">
      <c r="A42" s="191" t="s">
        <v>638</v>
      </c>
      <c r="B42" s="156" t="s">
        <v>623</v>
      </c>
      <c r="C42" s="260" t="s">
        <v>476</v>
      </c>
      <c r="D42" s="260" t="s">
        <v>473</v>
      </c>
      <c r="E42" s="260" t="s">
        <v>480</v>
      </c>
      <c r="F42" s="260" t="s">
        <v>321</v>
      </c>
      <c r="G42" s="170">
        <v>4</v>
      </c>
      <c r="H42" s="170" t="s">
        <v>324</v>
      </c>
      <c r="I42" s="248" t="s">
        <v>817</v>
      </c>
      <c r="J42" s="170" t="s">
        <v>477</v>
      </c>
      <c r="K42" s="170"/>
      <c r="L42" s="171">
        <v>10</v>
      </c>
      <c r="M42" s="171">
        <v>1</v>
      </c>
      <c r="N42" s="172">
        <f t="shared" si="2"/>
        <v>10</v>
      </c>
      <c r="O42" s="173"/>
      <c r="P42" s="171"/>
      <c r="Q42" s="185"/>
      <c r="AL42" s="39"/>
      <c r="AM42" s="174"/>
    </row>
    <row r="43" spans="1:39" s="31" customFormat="1" ht="270" hidden="1" x14ac:dyDescent="0.2">
      <c r="A43" s="191" t="s">
        <v>638</v>
      </c>
      <c r="B43" s="240" t="s">
        <v>623</v>
      </c>
      <c r="C43" s="260" t="s">
        <v>229</v>
      </c>
      <c r="D43" s="260" t="s">
        <v>858</v>
      </c>
      <c r="E43" s="260" t="s">
        <v>859</v>
      </c>
      <c r="F43" s="260" t="s">
        <v>328</v>
      </c>
      <c r="G43" s="170">
        <v>4</v>
      </c>
      <c r="H43" s="170" t="s">
        <v>331</v>
      </c>
      <c r="I43" s="248" t="s">
        <v>818</v>
      </c>
      <c r="J43" s="187" t="s">
        <v>868</v>
      </c>
      <c r="K43" s="170" t="s">
        <v>355</v>
      </c>
      <c r="L43" s="171">
        <v>10</v>
      </c>
      <c r="M43" s="171">
        <v>1</v>
      </c>
      <c r="N43" s="172">
        <f t="shared" si="2"/>
        <v>10</v>
      </c>
      <c r="O43" s="173"/>
      <c r="P43" s="171"/>
      <c r="Q43" s="185"/>
      <c r="AL43" s="39"/>
      <c r="AM43" s="174"/>
    </row>
    <row r="44" spans="1:39" s="31" customFormat="1" ht="297" hidden="1" x14ac:dyDescent="0.2">
      <c r="A44" s="191" t="s">
        <v>638</v>
      </c>
      <c r="B44" s="156" t="s">
        <v>231</v>
      </c>
      <c r="C44" s="260" t="s">
        <v>233</v>
      </c>
      <c r="D44" s="260" t="s">
        <v>468</v>
      </c>
      <c r="E44" s="260" t="s">
        <v>318</v>
      </c>
      <c r="F44" s="260" t="s">
        <v>307</v>
      </c>
      <c r="G44" s="170">
        <v>4</v>
      </c>
      <c r="H44" s="170" t="s">
        <v>299</v>
      </c>
      <c r="I44" s="248" t="s">
        <v>806</v>
      </c>
      <c r="J44" s="170" t="s">
        <v>866</v>
      </c>
      <c r="K44" s="170" t="s">
        <v>410</v>
      </c>
      <c r="L44" s="171">
        <v>10</v>
      </c>
      <c r="M44" s="171">
        <v>1</v>
      </c>
      <c r="N44" s="172">
        <f t="shared" si="2"/>
        <v>10</v>
      </c>
      <c r="O44" s="173"/>
      <c r="P44" s="171"/>
      <c r="Q44" s="185"/>
      <c r="AL44" s="39"/>
      <c r="AM44" s="174"/>
    </row>
    <row r="45" spans="1:39" s="31" customFormat="1" ht="148.5" hidden="1" x14ac:dyDescent="0.2">
      <c r="A45" s="191" t="s">
        <v>638</v>
      </c>
      <c r="B45" s="156" t="s">
        <v>231</v>
      </c>
      <c r="C45" s="260" t="s">
        <v>234</v>
      </c>
      <c r="D45" s="260" t="s">
        <v>473</v>
      </c>
      <c r="E45" s="260" t="s">
        <v>480</v>
      </c>
      <c r="F45" s="260" t="s">
        <v>321</v>
      </c>
      <c r="G45" s="170">
        <v>3</v>
      </c>
      <c r="H45" s="170" t="s">
        <v>324</v>
      </c>
      <c r="I45" s="248" t="s">
        <v>817</v>
      </c>
      <c r="J45" s="170" t="s">
        <v>867</v>
      </c>
      <c r="K45" s="170" t="s">
        <v>359</v>
      </c>
      <c r="L45" s="171">
        <v>10</v>
      </c>
      <c r="M45" s="171">
        <v>1</v>
      </c>
      <c r="N45" s="172">
        <f t="shared" si="2"/>
        <v>10</v>
      </c>
      <c r="O45" s="173"/>
      <c r="P45" s="171"/>
      <c r="Q45" s="185"/>
      <c r="AL45" s="39"/>
      <c r="AM45" s="174"/>
    </row>
    <row r="46" spans="1:39" s="31" customFormat="1" ht="148.5" hidden="1" x14ac:dyDescent="0.2">
      <c r="A46" s="191" t="s">
        <v>638</v>
      </c>
      <c r="B46" s="156" t="s">
        <v>235</v>
      </c>
      <c r="C46" s="260" t="s">
        <v>238</v>
      </c>
      <c r="D46" s="260" t="s">
        <v>473</v>
      </c>
      <c r="E46" s="260" t="s">
        <v>862</v>
      </c>
      <c r="F46" s="260" t="s">
        <v>321</v>
      </c>
      <c r="G46" s="170">
        <v>4</v>
      </c>
      <c r="H46" s="170" t="s">
        <v>324</v>
      </c>
      <c r="I46" s="248" t="s">
        <v>817</v>
      </c>
      <c r="J46" s="170" t="s">
        <v>865</v>
      </c>
      <c r="K46" s="170"/>
      <c r="L46" s="171">
        <v>10</v>
      </c>
      <c r="M46" s="171">
        <v>1</v>
      </c>
      <c r="N46" s="172">
        <f t="shared" si="2"/>
        <v>10</v>
      </c>
      <c r="O46" s="173"/>
      <c r="P46" s="171"/>
      <c r="Q46" s="185"/>
      <c r="AL46" s="39"/>
      <c r="AM46" s="174"/>
    </row>
    <row r="47" spans="1:39" s="31" customFormat="1" ht="162" hidden="1" x14ac:dyDescent="0.2">
      <c r="A47" s="191" t="s">
        <v>638</v>
      </c>
      <c r="B47" s="156" t="s">
        <v>690</v>
      </c>
      <c r="C47" s="260" t="s">
        <v>184</v>
      </c>
      <c r="D47" s="260" t="s">
        <v>651</v>
      </c>
      <c r="E47" s="260" t="s">
        <v>819</v>
      </c>
      <c r="F47" s="260" t="s">
        <v>652</v>
      </c>
      <c r="G47" s="195">
        <v>5</v>
      </c>
      <c r="H47" s="194" t="s">
        <v>653</v>
      </c>
      <c r="I47" s="251" t="s">
        <v>820</v>
      </c>
      <c r="J47" s="194" t="s">
        <v>654</v>
      </c>
      <c r="K47" s="194" t="s">
        <v>650</v>
      </c>
      <c r="L47" s="195">
        <v>10</v>
      </c>
      <c r="M47" s="195">
        <v>0.3</v>
      </c>
      <c r="N47" s="230">
        <f t="shared" si="2"/>
        <v>3</v>
      </c>
      <c r="O47" s="196"/>
      <c r="P47" s="195"/>
      <c r="Q47" s="197"/>
      <c r="R47" s="51"/>
      <c r="S47" s="51"/>
      <c r="T47" s="51"/>
      <c r="U47" s="51"/>
      <c r="V47" s="51"/>
      <c r="W47" s="51"/>
      <c r="X47" s="51"/>
      <c r="Y47" s="51"/>
      <c r="Z47" s="51"/>
      <c r="AA47" s="51"/>
      <c r="AB47" s="51"/>
      <c r="AC47" s="51"/>
      <c r="AD47" s="51"/>
      <c r="AE47" s="51"/>
      <c r="AF47" s="51"/>
      <c r="AG47" s="51"/>
      <c r="AH47" s="51"/>
      <c r="AI47" s="51"/>
      <c r="AJ47" s="51"/>
      <c r="AK47" s="51"/>
      <c r="AL47" s="51"/>
      <c r="AM47" s="51"/>
    </row>
    <row r="48" spans="1:39" s="31" customFormat="1" ht="310.5" hidden="1" x14ac:dyDescent="0.2">
      <c r="A48" s="191" t="s">
        <v>638</v>
      </c>
      <c r="B48" s="156" t="s">
        <v>690</v>
      </c>
      <c r="C48" s="260" t="s">
        <v>182</v>
      </c>
      <c r="D48" s="260" t="s">
        <v>667</v>
      </c>
      <c r="E48" s="260" t="s">
        <v>668</v>
      </c>
      <c r="F48" s="260" t="s">
        <v>663</v>
      </c>
      <c r="G48" s="195">
        <v>4</v>
      </c>
      <c r="H48" s="194" t="s">
        <v>669</v>
      </c>
      <c r="I48" s="252" t="s">
        <v>814</v>
      </c>
      <c r="J48" s="194" t="s">
        <v>670</v>
      </c>
      <c r="K48" s="194" t="s">
        <v>666</v>
      </c>
      <c r="L48" s="198">
        <v>10</v>
      </c>
      <c r="M48" s="198">
        <v>3</v>
      </c>
      <c r="N48" s="230">
        <f t="shared" si="2"/>
        <v>30</v>
      </c>
      <c r="O48" s="196"/>
      <c r="P48" s="195"/>
      <c r="Q48" s="197"/>
      <c r="R48" s="51"/>
      <c r="S48" s="51"/>
      <c r="T48" s="51"/>
      <c r="U48" s="51"/>
      <c r="V48" s="51"/>
      <c r="W48" s="51"/>
      <c r="X48" s="51"/>
      <c r="Y48" s="51"/>
      <c r="Z48" s="51"/>
      <c r="AA48" s="51"/>
      <c r="AB48" s="51"/>
      <c r="AC48" s="51"/>
      <c r="AD48" s="51"/>
      <c r="AE48" s="51"/>
      <c r="AF48" s="51"/>
      <c r="AG48" s="51"/>
      <c r="AH48" s="51"/>
      <c r="AI48" s="51"/>
      <c r="AJ48" s="51"/>
      <c r="AK48" s="51"/>
      <c r="AL48" s="51"/>
      <c r="AM48" s="51"/>
    </row>
    <row r="49" spans="1:39" s="31" customFormat="1" ht="89.25" hidden="1" x14ac:dyDescent="0.2">
      <c r="A49" s="191" t="s">
        <v>638</v>
      </c>
      <c r="B49" s="239" t="s">
        <v>696</v>
      </c>
      <c r="C49" s="260" t="s">
        <v>704</v>
      </c>
      <c r="D49" s="260" t="s">
        <v>682</v>
      </c>
      <c r="E49" s="260" t="s">
        <v>702</v>
      </c>
      <c r="F49" s="260" t="s">
        <v>683</v>
      </c>
      <c r="G49" s="195">
        <v>3</v>
      </c>
      <c r="H49" s="221"/>
      <c r="I49" s="253"/>
      <c r="J49" s="194" t="s">
        <v>703</v>
      </c>
      <c r="K49" s="194" t="s">
        <v>710</v>
      </c>
      <c r="L49" s="195">
        <v>10</v>
      </c>
      <c r="M49" s="195">
        <v>3</v>
      </c>
      <c r="N49" s="230">
        <v>30</v>
      </c>
      <c r="O49" s="221"/>
      <c r="P49" s="228"/>
      <c r="Q49" s="238"/>
      <c r="R49" s="51"/>
      <c r="S49" s="51"/>
      <c r="T49" s="51"/>
      <c r="U49" s="51"/>
      <c r="V49" s="51"/>
      <c r="W49" s="51"/>
      <c r="X49" s="51"/>
      <c r="Y49" s="51"/>
      <c r="Z49" s="51"/>
      <c r="AA49" s="51"/>
      <c r="AB49" s="51"/>
      <c r="AC49" s="51"/>
      <c r="AD49" s="51"/>
      <c r="AE49" s="51"/>
      <c r="AF49" s="51"/>
      <c r="AG49" s="51"/>
      <c r="AH49" s="51"/>
      <c r="AI49" s="51"/>
      <c r="AJ49" s="51"/>
      <c r="AK49" s="51"/>
      <c r="AL49" s="51"/>
      <c r="AM49" s="51"/>
    </row>
    <row r="50" spans="1:39" s="31" customFormat="1" ht="94.5" hidden="1" x14ac:dyDescent="0.2">
      <c r="A50" s="218" t="s">
        <v>638</v>
      </c>
      <c r="B50" s="240" t="s">
        <v>699</v>
      </c>
      <c r="C50" s="260" t="s">
        <v>717</v>
      </c>
      <c r="D50" s="260" t="s">
        <v>718</v>
      </c>
      <c r="E50" s="260" t="s">
        <v>714</v>
      </c>
      <c r="F50" s="260" t="s">
        <v>715</v>
      </c>
      <c r="G50" s="194">
        <v>3</v>
      </c>
      <c r="H50" s="194"/>
      <c r="I50" s="250"/>
      <c r="J50" s="194" t="s">
        <v>719</v>
      </c>
      <c r="K50" s="194" t="s">
        <v>711</v>
      </c>
      <c r="L50" s="228">
        <v>10</v>
      </c>
      <c r="M50" s="228">
        <v>3</v>
      </c>
      <c r="N50" s="228">
        <v>30</v>
      </c>
      <c r="O50" s="221"/>
      <c r="P50" s="228"/>
      <c r="Q50" s="238"/>
      <c r="R50" s="51"/>
      <c r="S50" s="51"/>
      <c r="T50" s="51"/>
      <c r="U50" s="51"/>
      <c r="V50" s="51"/>
      <c r="W50" s="51"/>
      <c r="X50" s="51"/>
      <c r="Y50" s="51"/>
      <c r="Z50" s="51"/>
      <c r="AA50" s="51"/>
      <c r="AB50" s="51"/>
      <c r="AC50" s="51"/>
      <c r="AD50" s="51"/>
      <c r="AE50" s="51"/>
      <c r="AF50" s="51"/>
      <c r="AG50" s="51"/>
      <c r="AH50" s="51"/>
      <c r="AI50" s="51"/>
      <c r="AJ50" s="51"/>
      <c r="AK50" s="51"/>
      <c r="AL50" s="51"/>
      <c r="AM50" s="51"/>
    </row>
    <row r="51" spans="1:39" s="31" customFormat="1" ht="216" hidden="1" x14ac:dyDescent="0.2">
      <c r="A51" s="191" t="s">
        <v>636</v>
      </c>
      <c r="B51" s="155" t="s">
        <v>164</v>
      </c>
      <c r="C51" s="260" t="s">
        <v>417</v>
      </c>
      <c r="D51" s="260" t="s">
        <v>446</v>
      </c>
      <c r="E51" s="260" t="s">
        <v>348</v>
      </c>
      <c r="F51" s="260" t="s">
        <v>419</v>
      </c>
      <c r="G51" s="171">
        <v>2</v>
      </c>
      <c r="H51" s="170" t="s">
        <v>346</v>
      </c>
      <c r="I51" s="248" t="s">
        <v>821</v>
      </c>
      <c r="J51" s="184" t="s">
        <v>418</v>
      </c>
      <c r="K51" s="170" t="s">
        <v>349</v>
      </c>
      <c r="L51" s="171">
        <v>3</v>
      </c>
      <c r="M51" s="171">
        <v>0.3</v>
      </c>
      <c r="N51" s="172">
        <f t="shared" ref="N51:N91" si="3">L51*M51</f>
        <v>0.89999999999999991</v>
      </c>
      <c r="O51" s="232"/>
      <c r="P51" s="171"/>
      <c r="Q51" s="185"/>
    </row>
    <row r="52" spans="1:39" s="31" customFormat="1" ht="202.5" hidden="1" x14ac:dyDescent="0.2">
      <c r="A52" s="191" t="s">
        <v>636</v>
      </c>
      <c r="B52" s="156" t="s">
        <v>169</v>
      </c>
      <c r="C52" s="260" t="s">
        <v>641</v>
      </c>
      <c r="D52" s="260" t="s">
        <v>449</v>
      </c>
      <c r="E52" s="260" t="s">
        <v>348</v>
      </c>
      <c r="F52" s="260" t="s">
        <v>357</v>
      </c>
      <c r="G52" s="171">
        <v>2</v>
      </c>
      <c r="H52" s="170" t="s">
        <v>346</v>
      </c>
      <c r="I52" s="247" t="s">
        <v>822</v>
      </c>
      <c r="J52" s="184" t="s">
        <v>356</v>
      </c>
      <c r="K52" s="170" t="s">
        <v>349</v>
      </c>
      <c r="L52" s="171">
        <v>3</v>
      </c>
      <c r="M52" s="171">
        <v>1</v>
      </c>
      <c r="N52" s="172">
        <f t="shared" si="3"/>
        <v>3</v>
      </c>
      <c r="O52" s="173"/>
      <c r="P52" s="171"/>
      <c r="Q52" s="185"/>
    </row>
    <row r="53" spans="1:39" s="31" customFormat="1" ht="175.5" hidden="1" x14ac:dyDescent="0.2">
      <c r="A53" s="191" t="s">
        <v>636</v>
      </c>
      <c r="B53" s="156" t="s">
        <v>191</v>
      </c>
      <c r="C53" s="260" t="s">
        <v>183</v>
      </c>
      <c r="D53" s="260" t="s">
        <v>404</v>
      </c>
      <c r="E53" s="260" t="s">
        <v>460</v>
      </c>
      <c r="F53" s="260" t="s">
        <v>525</v>
      </c>
      <c r="G53" s="170">
        <v>5</v>
      </c>
      <c r="H53" s="170" t="s">
        <v>378</v>
      </c>
      <c r="I53" s="248" t="s">
        <v>823</v>
      </c>
      <c r="J53" s="170" t="s">
        <v>453</v>
      </c>
      <c r="K53" s="170" t="s">
        <v>261</v>
      </c>
      <c r="L53" s="171">
        <v>10</v>
      </c>
      <c r="M53" s="171">
        <v>0.3</v>
      </c>
      <c r="N53" s="172">
        <f t="shared" si="3"/>
        <v>3</v>
      </c>
      <c r="O53" s="173"/>
      <c r="P53" s="171"/>
      <c r="Q53" s="185"/>
      <c r="AL53" s="39"/>
      <c r="AM53" s="174"/>
    </row>
    <row r="54" spans="1:39" s="31" customFormat="1" ht="148.5" hidden="1" x14ac:dyDescent="0.2">
      <c r="A54" s="191" t="s">
        <v>636</v>
      </c>
      <c r="B54" s="156" t="s">
        <v>192</v>
      </c>
      <c r="C54" s="260" t="s">
        <v>190</v>
      </c>
      <c r="D54" s="260" t="s">
        <v>459</v>
      </c>
      <c r="E54" s="260" t="s">
        <v>460</v>
      </c>
      <c r="F54" s="260" t="s">
        <v>461</v>
      </c>
      <c r="G54" s="170">
        <v>4</v>
      </c>
      <c r="H54" s="170" t="s">
        <v>377</v>
      </c>
      <c r="I54" s="248" t="s">
        <v>824</v>
      </c>
      <c r="J54" s="170" t="s">
        <v>453</v>
      </c>
      <c r="K54" s="170" t="s">
        <v>261</v>
      </c>
      <c r="L54" s="171">
        <v>10</v>
      </c>
      <c r="M54" s="171">
        <v>1</v>
      </c>
      <c r="N54" s="172">
        <f t="shared" si="3"/>
        <v>10</v>
      </c>
      <c r="O54" s="173"/>
      <c r="P54" s="171"/>
      <c r="Q54" s="185"/>
      <c r="AL54" s="39"/>
      <c r="AM54" s="174"/>
    </row>
    <row r="55" spans="1:39" s="31" customFormat="1" ht="121.5" hidden="1" x14ac:dyDescent="0.2">
      <c r="A55" s="191" t="s">
        <v>636</v>
      </c>
      <c r="B55" s="155" t="s">
        <v>198</v>
      </c>
      <c r="C55" s="260" t="s">
        <v>200</v>
      </c>
      <c r="D55" s="260" t="s">
        <v>503</v>
      </c>
      <c r="E55" s="260" t="s">
        <v>542</v>
      </c>
      <c r="F55" s="260" t="s">
        <v>384</v>
      </c>
      <c r="G55" s="170">
        <v>3</v>
      </c>
      <c r="H55" s="170" t="s">
        <v>504</v>
      </c>
      <c r="I55" s="247" t="s">
        <v>825</v>
      </c>
      <c r="J55" s="170" t="s">
        <v>543</v>
      </c>
      <c r="K55" s="170" t="s">
        <v>544</v>
      </c>
      <c r="L55" s="171">
        <v>3</v>
      </c>
      <c r="M55" s="171">
        <v>1</v>
      </c>
      <c r="N55" s="172">
        <f t="shared" si="3"/>
        <v>3</v>
      </c>
      <c r="O55" s="170"/>
      <c r="P55" s="171"/>
      <c r="Q55" s="185"/>
      <c r="AL55" s="39"/>
      <c r="AM55" s="174"/>
    </row>
    <row r="56" spans="1:39" s="31" customFormat="1" ht="337.5" hidden="1" x14ac:dyDescent="0.2">
      <c r="A56" s="191" t="s">
        <v>636</v>
      </c>
      <c r="B56" s="155" t="s">
        <v>199</v>
      </c>
      <c r="C56" s="260" t="s">
        <v>201</v>
      </c>
      <c r="D56" s="260" t="s">
        <v>545</v>
      </c>
      <c r="E56" s="260" t="s">
        <v>241</v>
      </c>
      <c r="F56" s="260" t="s">
        <v>242</v>
      </c>
      <c r="G56" s="170">
        <v>4</v>
      </c>
      <c r="H56" s="170" t="s">
        <v>546</v>
      </c>
      <c r="I56" s="247" t="s">
        <v>826</v>
      </c>
      <c r="J56" s="170" t="s">
        <v>547</v>
      </c>
      <c r="K56" s="170" t="s">
        <v>345</v>
      </c>
      <c r="L56" s="171">
        <v>10</v>
      </c>
      <c r="M56" s="171">
        <v>1</v>
      </c>
      <c r="N56" s="172">
        <f t="shared" si="3"/>
        <v>10</v>
      </c>
      <c r="O56" s="170"/>
      <c r="P56" s="171"/>
      <c r="Q56" s="185"/>
      <c r="AL56" s="39"/>
      <c r="AM56" s="174"/>
    </row>
    <row r="57" spans="1:39" s="31" customFormat="1" ht="102" hidden="1" x14ac:dyDescent="0.2">
      <c r="A57" s="191" t="s">
        <v>636</v>
      </c>
      <c r="B57" s="155" t="s">
        <v>214</v>
      </c>
      <c r="C57" s="260" t="s">
        <v>215</v>
      </c>
      <c r="D57" s="260" t="s">
        <v>421</v>
      </c>
      <c r="E57" s="260" t="s">
        <v>292</v>
      </c>
      <c r="F57" s="260" t="s">
        <v>385</v>
      </c>
      <c r="G57" s="170">
        <v>1</v>
      </c>
      <c r="H57" s="170" t="s">
        <v>293</v>
      </c>
      <c r="I57" s="247" t="s">
        <v>827</v>
      </c>
      <c r="J57" s="170" t="s">
        <v>422</v>
      </c>
      <c r="K57" s="170" t="s">
        <v>423</v>
      </c>
      <c r="L57" s="171">
        <v>3</v>
      </c>
      <c r="M57" s="171">
        <v>0.3</v>
      </c>
      <c r="N57" s="172">
        <f t="shared" si="3"/>
        <v>0.89999999999999991</v>
      </c>
      <c r="O57" s="170"/>
      <c r="P57" s="171"/>
      <c r="Q57" s="185"/>
      <c r="AL57" s="39"/>
      <c r="AM57" s="174"/>
    </row>
    <row r="58" spans="1:39" s="31" customFormat="1" ht="202.5" hidden="1" x14ac:dyDescent="0.2">
      <c r="A58" s="191" t="s">
        <v>636</v>
      </c>
      <c r="B58" s="156" t="s">
        <v>218</v>
      </c>
      <c r="C58" s="260" t="s">
        <v>219</v>
      </c>
      <c r="D58" s="260" t="s">
        <v>459</v>
      </c>
      <c r="E58" s="260" t="s">
        <v>460</v>
      </c>
      <c r="F58" s="260" t="s">
        <v>461</v>
      </c>
      <c r="G58" s="170">
        <v>4</v>
      </c>
      <c r="H58" s="170" t="s">
        <v>377</v>
      </c>
      <c r="I58" s="247" t="s">
        <v>822</v>
      </c>
      <c r="J58" s="170" t="s">
        <v>453</v>
      </c>
      <c r="K58" s="170" t="s">
        <v>261</v>
      </c>
      <c r="L58" s="171">
        <v>10</v>
      </c>
      <c r="M58" s="171">
        <v>0.3</v>
      </c>
      <c r="N58" s="172">
        <f t="shared" si="3"/>
        <v>3</v>
      </c>
      <c r="O58" s="173"/>
      <c r="P58" s="171"/>
      <c r="Q58" s="185"/>
      <c r="AL58" s="39"/>
      <c r="AM58" s="174"/>
    </row>
    <row r="59" spans="1:39" s="31" customFormat="1" ht="162" hidden="1" x14ac:dyDescent="0.2">
      <c r="A59" s="191" t="s">
        <v>636</v>
      </c>
      <c r="B59" s="156" t="s">
        <v>218</v>
      </c>
      <c r="C59" s="260" t="s">
        <v>687</v>
      </c>
      <c r="D59" s="260" t="s">
        <v>626</v>
      </c>
      <c r="E59" s="260" t="s">
        <v>627</v>
      </c>
      <c r="F59" s="260" t="s">
        <v>454</v>
      </c>
      <c r="G59" s="170">
        <v>4</v>
      </c>
      <c r="H59" s="170" t="s">
        <v>629</v>
      </c>
      <c r="I59" s="247" t="s">
        <v>828</v>
      </c>
      <c r="J59" s="170" t="s">
        <v>628</v>
      </c>
      <c r="K59" s="170" t="s">
        <v>344</v>
      </c>
      <c r="L59" s="171">
        <v>10</v>
      </c>
      <c r="M59" s="171">
        <v>1</v>
      </c>
      <c r="N59" s="172">
        <f t="shared" si="3"/>
        <v>10</v>
      </c>
      <c r="O59" s="173"/>
      <c r="P59" s="171"/>
      <c r="Q59" s="185"/>
      <c r="AL59" s="39"/>
      <c r="AM59" s="174"/>
    </row>
    <row r="60" spans="1:39" s="31" customFormat="1" ht="162" hidden="1" x14ac:dyDescent="0.2">
      <c r="A60" s="191" t="s">
        <v>636</v>
      </c>
      <c r="B60" s="155" t="s">
        <v>223</v>
      </c>
      <c r="C60" s="260" t="s">
        <v>190</v>
      </c>
      <c r="D60" s="260" t="s">
        <v>470</v>
      </c>
      <c r="E60" s="260" t="s">
        <v>306</v>
      </c>
      <c r="F60" s="260" t="s">
        <v>307</v>
      </c>
      <c r="G60" s="170">
        <v>4</v>
      </c>
      <c r="H60" s="170" t="s">
        <v>299</v>
      </c>
      <c r="I60" s="248" t="s">
        <v>829</v>
      </c>
      <c r="J60" s="170" t="s">
        <v>453</v>
      </c>
      <c r="K60" s="170" t="s">
        <v>405</v>
      </c>
      <c r="L60" s="171">
        <v>10</v>
      </c>
      <c r="M60" s="171">
        <v>1</v>
      </c>
      <c r="N60" s="172">
        <f t="shared" si="3"/>
        <v>10</v>
      </c>
      <c r="O60" s="173"/>
      <c r="P60" s="171"/>
      <c r="Q60" s="185"/>
      <c r="AL60" s="39"/>
      <c r="AM60" s="174"/>
    </row>
    <row r="61" spans="1:39" s="31" customFormat="1" ht="162" hidden="1" x14ac:dyDescent="0.2">
      <c r="A61" s="191" t="s">
        <v>750</v>
      </c>
      <c r="B61" s="156" t="s">
        <v>227</v>
      </c>
      <c r="C61" s="260" t="s">
        <v>190</v>
      </c>
      <c r="D61" s="260" t="s">
        <v>473</v>
      </c>
      <c r="E61" s="260" t="s">
        <v>315</v>
      </c>
      <c r="F61" s="260" t="s">
        <v>314</v>
      </c>
      <c r="G61" s="170">
        <v>4</v>
      </c>
      <c r="H61" s="170" t="s">
        <v>299</v>
      </c>
      <c r="I61" s="248" t="s">
        <v>829</v>
      </c>
      <c r="J61" s="170" t="s">
        <v>398</v>
      </c>
      <c r="K61" s="170" t="s">
        <v>397</v>
      </c>
      <c r="L61" s="171">
        <v>10</v>
      </c>
      <c r="M61" s="171">
        <v>1</v>
      </c>
      <c r="N61" s="172">
        <f t="shared" si="3"/>
        <v>10</v>
      </c>
      <c r="O61" s="173"/>
      <c r="P61" s="171"/>
      <c r="Q61" s="185"/>
      <c r="AL61" s="39"/>
      <c r="AM61" s="174"/>
    </row>
    <row r="62" spans="1:39" s="31" customFormat="1" ht="270" hidden="1" x14ac:dyDescent="0.2">
      <c r="A62" s="191" t="s">
        <v>750</v>
      </c>
      <c r="B62" s="156" t="s">
        <v>227</v>
      </c>
      <c r="C62" s="260" t="s">
        <v>181</v>
      </c>
      <c r="D62" s="260" t="s">
        <v>478</v>
      </c>
      <c r="E62" s="260" t="s">
        <v>852</v>
      </c>
      <c r="F62" s="260" t="s">
        <v>307</v>
      </c>
      <c r="G62" s="170">
        <v>4</v>
      </c>
      <c r="H62" s="170" t="s">
        <v>299</v>
      </c>
      <c r="I62" s="247" t="s">
        <v>830</v>
      </c>
      <c r="J62" s="170" t="s">
        <v>853</v>
      </c>
      <c r="K62" s="170" t="s">
        <v>343</v>
      </c>
      <c r="L62" s="171">
        <v>10</v>
      </c>
      <c r="M62" s="171">
        <v>1</v>
      </c>
      <c r="N62" s="172">
        <f t="shared" si="3"/>
        <v>10</v>
      </c>
      <c r="O62" s="173"/>
      <c r="P62" s="171"/>
      <c r="Q62" s="185"/>
      <c r="AL62" s="39"/>
      <c r="AM62" s="174"/>
    </row>
    <row r="63" spans="1:39" s="31" customFormat="1" ht="148.5" hidden="1" x14ac:dyDescent="0.2">
      <c r="A63" s="191" t="s">
        <v>750</v>
      </c>
      <c r="B63" s="156" t="s">
        <v>622</v>
      </c>
      <c r="C63" s="260" t="s">
        <v>228</v>
      </c>
      <c r="D63" s="260" t="s">
        <v>320</v>
      </c>
      <c r="E63" s="260" t="s">
        <v>323</v>
      </c>
      <c r="F63" s="260" t="s">
        <v>321</v>
      </c>
      <c r="G63" s="170">
        <v>3</v>
      </c>
      <c r="H63" s="170" t="s">
        <v>322</v>
      </c>
      <c r="I63" s="248" t="s">
        <v>829</v>
      </c>
      <c r="J63" s="170" t="s">
        <v>479</v>
      </c>
      <c r="K63" s="170" t="s">
        <v>400</v>
      </c>
      <c r="L63" s="171">
        <v>3</v>
      </c>
      <c r="M63" s="171">
        <v>1</v>
      </c>
      <c r="N63" s="172">
        <f t="shared" si="3"/>
        <v>3</v>
      </c>
      <c r="O63" s="173"/>
      <c r="P63" s="171"/>
      <c r="Q63" s="185"/>
      <c r="AL63" s="39"/>
      <c r="AM63" s="174"/>
    </row>
    <row r="64" spans="1:39" s="31" customFormat="1" ht="153" hidden="1" x14ac:dyDescent="0.2">
      <c r="A64" s="191" t="s">
        <v>750</v>
      </c>
      <c r="B64" s="156" t="s">
        <v>624</v>
      </c>
      <c r="C64" s="260" t="s">
        <v>230</v>
      </c>
      <c r="D64" s="260" t="s">
        <v>404</v>
      </c>
      <c r="E64" s="260" t="s">
        <v>482</v>
      </c>
      <c r="F64" s="260" t="s">
        <v>483</v>
      </c>
      <c r="G64" s="170">
        <v>4</v>
      </c>
      <c r="H64" s="170" t="s">
        <v>378</v>
      </c>
      <c r="I64" s="248" t="s">
        <v>831</v>
      </c>
      <c r="J64" s="170" t="s">
        <v>484</v>
      </c>
      <c r="K64" s="170"/>
      <c r="L64" s="171">
        <v>10</v>
      </c>
      <c r="M64" s="171">
        <v>1</v>
      </c>
      <c r="N64" s="172">
        <f t="shared" si="3"/>
        <v>10</v>
      </c>
      <c r="O64" s="173"/>
      <c r="P64" s="171"/>
      <c r="Q64" s="185"/>
      <c r="AL64" s="39"/>
      <c r="AM64" s="174"/>
    </row>
    <row r="65" spans="1:39" s="31" customFormat="1" ht="189" hidden="1" x14ac:dyDescent="0.2">
      <c r="A65" s="191" t="s">
        <v>750</v>
      </c>
      <c r="B65" s="156" t="s">
        <v>625</v>
      </c>
      <c r="C65" s="260" t="s">
        <v>181</v>
      </c>
      <c r="D65" s="260" t="s">
        <v>478</v>
      </c>
      <c r="E65" s="260" t="s">
        <v>318</v>
      </c>
      <c r="F65" s="260" t="s">
        <v>307</v>
      </c>
      <c r="G65" s="170">
        <v>4</v>
      </c>
      <c r="H65" s="170" t="s">
        <v>299</v>
      </c>
      <c r="I65" s="247" t="s">
        <v>832</v>
      </c>
      <c r="J65" s="170" t="s">
        <v>413</v>
      </c>
      <c r="K65" s="170" t="s">
        <v>403</v>
      </c>
      <c r="L65" s="171">
        <v>10</v>
      </c>
      <c r="M65" s="171">
        <v>1</v>
      </c>
      <c r="N65" s="172">
        <f t="shared" si="3"/>
        <v>10</v>
      </c>
      <c r="O65" s="173"/>
      <c r="P65" s="171"/>
      <c r="Q65" s="185"/>
      <c r="AL65" s="39"/>
      <c r="AM65" s="174"/>
    </row>
    <row r="66" spans="1:39" s="31" customFormat="1" ht="153" hidden="1" x14ac:dyDescent="0.2">
      <c r="A66" s="191" t="s">
        <v>750</v>
      </c>
      <c r="B66" s="156" t="s">
        <v>231</v>
      </c>
      <c r="C66" s="260" t="s">
        <v>232</v>
      </c>
      <c r="D66" s="260" t="s">
        <v>404</v>
      </c>
      <c r="E66" s="260" t="s">
        <v>460</v>
      </c>
      <c r="F66" s="260" t="s">
        <v>483</v>
      </c>
      <c r="G66" s="170">
        <v>4</v>
      </c>
      <c r="H66" s="170" t="s">
        <v>378</v>
      </c>
      <c r="I66" s="248" t="s">
        <v>829</v>
      </c>
      <c r="J66" s="170" t="s">
        <v>860</v>
      </c>
      <c r="K66" s="170" t="s">
        <v>405</v>
      </c>
      <c r="L66" s="171">
        <v>10</v>
      </c>
      <c r="M66" s="171">
        <v>1</v>
      </c>
      <c r="N66" s="172">
        <f t="shared" si="3"/>
        <v>10</v>
      </c>
      <c r="O66" s="173"/>
      <c r="P66" s="171"/>
      <c r="Q66" s="185"/>
      <c r="AL66" s="39"/>
      <c r="AM66" s="174"/>
    </row>
    <row r="67" spans="1:39" s="31" customFormat="1" ht="153" hidden="1" x14ac:dyDescent="0.2">
      <c r="A67" s="191" t="s">
        <v>750</v>
      </c>
      <c r="B67" s="156" t="s">
        <v>235</v>
      </c>
      <c r="C67" s="260" t="s">
        <v>236</v>
      </c>
      <c r="D67" s="260" t="s">
        <v>486</v>
      </c>
      <c r="E67" s="260" t="s">
        <v>414</v>
      </c>
      <c r="F67" s="260" t="s">
        <v>483</v>
      </c>
      <c r="G67" s="170">
        <v>4</v>
      </c>
      <c r="H67" s="170" t="s">
        <v>378</v>
      </c>
      <c r="I67" s="248" t="s">
        <v>829</v>
      </c>
      <c r="J67" s="170" t="s">
        <v>487</v>
      </c>
      <c r="K67" s="170" t="s">
        <v>405</v>
      </c>
      <c r="L67" s="171">
        <v>10</v>
      </c>
      <c r="M67" s="171">
        <v>1</v>
      </c>
      <c r="N67" s="172">
        <f t="shared" si="3"/>
        <v>10</v>
      </c>
      <c r="O67" s="173"/>
      <c r="P67" s="171"/>
      <c r="Q67" s="185"/>
      <c r="AL67" s="39"/>
      <c r="AM67" s="174"/>
    </row>
    <row r="68" spans="1:39" s="31" customFormat="1" ht="162" hidden="1" x14ac:dyDescent="0.2">
      <c r="A68" s="191" t="s">
        <v>787</v>
      </c>
      <c r="B68" s="156" t="s">
        <v>690</v>
      </c>
      <c r="C68" s="260" t="s">
        <v>183</v>
      </c>
      <c r="D68" s="260" t="s">
        <v>645</v>
      </c>
      <c r="E68" s="260" t="s">
        <v>646</v>
      </c>
      <c r="F68" s="260" t="s">
        <v>647</v>
      </c>
      <c r="G68" s="195">
        <v>5</v>
      </c>
      <c r="H68" s="194" t="s">
        <v>648</v>
      </c>
      <c r="I68" s="251" t="s">
        <v>820</v>
      </c>
      <c r="J68" s="194" t="s">
        <v>649</v>
      </c>
      <c r="K68" s="194" t="s">
        <v>650</v>
      </c>
      <c r="L68" s="195">
        <v>10</v>
      </c>
      <c r="M68" s="195">
        <v>0.3</v>
      </c>
      <c r="N68" s="230">
        <f t="shared" si="3"/>
        <v>3</v>
      </c>
      <c r="O68" s="196"/>
      <c r="P68" s="195"/>
      <c r="Q68" s="197"/>
      <c r="R68" s="51"/>
      <c r="S68" s="51"/>
      <c r="T68" s="51"/>
      <c r="U68" s="51"/>
      <c r="V68" s="51"/>
      <c r="W68" s="51"/>
      <c r="X68" s="51"/>
      <c r="Y68" s="51"/>
      <c r="Z68" s="51"/>
      <c r="AA68" s="51"/>
      <c r="AB68" s="51"/>
      <c r="AC68" s="51"/>
      <c r="AD68" s="51"/>
      <c r="AE68" s="51"/>
      <c r="AF68" s="51"/>
      <c r="AG68" s="51"/>
      <c r="AH68" s="51"/>
      <c r="AI68" s="51"/>
      <c r="AJ68" s="51"/>
      <c r="AK68" s="51"/>
      <c r="AL68" s="51"/>
      <c r="AM68" s="51"/>
    </row>
    <row r="69" spans="1:39" s="31" customFormat="1" ht="121.5" hidden="1" x14ac:dyDescent="0.2">
      <c r="A69" s="191" t="s">
        <v>787</v>
      </c>
      <c r="B69" s="156" t="s">
        <v>643</v>
      </c>
      <c r="C69" s="260" t="s">
        <v>180</v>
      </c>
      <c r="D69" s="260" t="s">
        <v>388</v>
      </c>
      <c r="E69" s="260" t="s">
        <v>335</v>
      </c>
      <c r="F69" s="260" t="s">
        <v>257</v>
      </c>
      <c r="G69" s="170">
        <v>4</v>
      </c>
      <c r="H69" s="170" t="s">
        <v>371</v>
      </c>
      <c r="I69" s="247" t="s">
        <v>833</v>
      </c>
      <c r="J69" s="170" t="s">
        <v>370</v>
      </c>
      <c r="K69" s="170" t="s">
        <v>450</v>
      </c>
      <c r="L69" s="171">
        <v>10</v>
      </c>
      <c r="M69" s="171">
        <v>0.3</v>
      </c>
      <c r="N69" s="172">
        <f t="shared" si="3"/>
        <v>3</v>
      </c>
      <c r="O69" s="173"/>
      <c r="P69" s="171"/>
      <c r="Q69" s="185"/>
      <c r="AL69" s="39"/>
      <c r="AM69" s="174"/>
    </row>
    <row r="70" spans="1:39" s="31" customFormat="1" ht="162" hidden="1" x14ac:dyDescent="0.2">
      <c r="A70" s="191" t="s">
        <v>163</v>
      </c>
      <c r="B70" s="155" t="s">
        <v>197</v>
      </c>
      <c r="C70" s="260" t="s">
        <v>165</v>
      </c>
      <c r="D70" s="260" t="s">
        <v>447</v>
      </c>
      <c r="E70" s="260" t="s">
        <v>348</v>
      </c>
      <c r="F70" s="260" t="s">
        <v>419</v>
      </c>
      <c r="G70" s="171">
        <v>2</v>
      </c>
      <c r="H70" s="170" t="s">
        <v>489</v>
      </c>
      <c r="I70" s="248" t="s">
        <v>821</v>
      </c>
      <c r="J70" s="170" t="s">
        <v>490</v>
      </c>
      <c r="K70" s="170" t="s">
        <v>349</v>
      </c>
      <c r="L70" s="171">
        <v>3</v>
      </c>
      <c r="M70" s="171">
        <v>0.3</v>
      </c>
      <c r="N70" s="172">
        <f t="shared" si="3"/>
        <v>0.89999999999999991</v>
      </c>
      <c r="O70" s="173"/>
      <c r="P70" s="171"/>
      <c r="Q70" s="185"/>
    </row>
    <row r="71" spans="1:39" s="31" customFormat="1" ht="140.25" hidden="1" x14ac:dyDescent="0.2">
      <c r="A71" s="191" t="s">
        <v>787</v>
      </c>
      <c r="B71" s="156" t="s">
        <v>178</v>
      </c>
      <c r="C71" s="260" t="s">
        <v>172</v>
      </c>
      <c r="D71" s="260" t="s">
        <v>507</v>
      </c>
      <c r="E71" s="260" t="s">
        <v>368</v>
      </c>
      <c r="F71" s="260" t="s">
        <v>246</v>
      </c>
      <c r="G71" s="170">
        <v>4</v>
      </c>
      <c r="H71" s="170" t="s">
        <v>368</v>
      </c>
      <c r="I71" s="247" t="s">
        <v>834</v>
      </c>
      <c r="J71" s="170" t="s">
        <v>843</v>
      </c>
      <c r="K71" s="170" t="s">
        <v>373</v>
      </c>
      <c r="L71" s="171">
        <v>30</v>
      </c>
      <c r="M71" s="171">
        <v>3</v>
      </c>
      <c r="N71" s="172">
        <f t="shared" si="3"/>
        <v>90</v>
      </c>
      <c r="O71" s="170"/>
      <c r="P71" s="171"/>
      <c r="Q71" s="185"/>
      <c r="AL71" s="39"/>
      <c r="AM71" s="174"/>
    </row>
    <row r="72" spans="1:39" s="31" customFormat="1" ht="135" hidden="1" x14ac:dyDescent="0.2">
      <c r="A72" s="191" t="s">
        <v>787</v>
      </c>
      <c r="B72" s="156" t="s">
        <v>178</v>
      </c>
      <c r="C72" s="260" t="s">
        <v>173</v>
      </c>
      <c r="D72" s="260" t="s">
        <v>462</v>
      </c>
      <c r="E72" s="260" t="s">
        <v>512</v>
      </c>
      <c r="F72" s="260" t="s">
        <v>429</v>
      </c>
      <c r="G72" s="170">
        <v>3</v>
      </c>
      <c r="H72" s="170" t="s">
        <v>428</v>
      </c>
      <c r="I72" s="247" t="s">
        <v>835</v>
      </c>
      <c r="J72" s="170" t="s">
        <v>342</v>
      </c>
      <c r="K72" s="170" t="s">
        <v>373</v>
      </c>
      <c r="L72" s="171">
        <v>3</v>
      </c>
      <c r="M72" s="171">
        <v>1</v>
      </c>
      <c r="N72" s="172">
        <f t="shared" si="3"/>
        <v>3</v>
      </c>
      <c r="O72" s="170"/>
      <c r="P72" s="171"/>
      <c r="Q72" s="185"/>
      <c r="AL72" s="39"/>
      <c r="AM72" s="174"/>
    </row>
    <row r="73" spans="1:39" s="31" customFormat="1" ht="175.5" hidden="1" x14ac:dyDescent="0.2">
      <c r="A73" s="191" t="s">
        <v>787</v>
      </c>
      <c r="B73" s="156" t="s">
        <v>178</v>
      </c>
      <c r="C73" s="151" t="s">
        <v>179</v>
      </c>
      <c r="D73" s="170" t="s">
        <v>254</v>
      </c>
      <c r="E73" s="170" t="s">
        <v>253</v>
      </c>
      <c r="F73" s="170" t="s">
        <v>255</v>
      </c>
      <c r="G73" s="170">
        <v>2</v>
      </c>
      <c r="H73" s="170" t="s">
        <v>256</v>
      </c>
      <c r="I73" s="247" t="s">
        <v>792</v>
      </c>
      <c r="J73" s="170" t="s">
        <v>520</v>
      </c>
      <c r="K73" s="170" t="s">
        <v>375</v>
      </c>
      <c r="L73" s="171">
        <v>3</v>
      </c>
      <c r="M73" s="171">
        <v>0.3</v>
      </c>
      <c r="N73" s="172">
        <f t="shared" si="3"/>
        <v>0.89999999999999991</v>
      </c>
      <c r="O73" s="173"/>
      <c r="P73" s="171"/>
      <c r="Q73" s="185"/>
      <c r="AL73" s="39"/>
      <c r="AM73" s="174"/>
    </row>
    <row r="74" spans="1:39" s="31" customFormat="1" ht="162" hidden="1" x14ac:dyDescent="0.2">
      <c r="A74" s="191" t="s">
        <v>787</v>
      </c>
      <c r="B74" s="156" t="s">
        <v>191</v>
      </c>
      <c r="C74" s="151" t="s">
        <v>185</v>
      </c>
      <c r="D74" s="170" t="s">
        <v>391</v>
      </c>
      <c r="E74" s="170" t="s">
        <v>262</v>
      </c>
      <c r="F74" s="170" t="s">
        <v>264</v>
      </c>
      <c r="G74" s="170">
        <v>4</v>
      </c>
      <c r="H74" s="170" t="s">
        <v>263</v>
      </c>
      <c r="I74" s="247" t="s">
        <v>836</v>
      </c>
      <c r="J74" s="170" t="s">
        <v>265</v>
      </c>
      <c r="K74" s="170" t="s">
        <v>451</v>
      </c>
      <c r="L74" s="171">
        <v>10</v>
      </c>
      <c r="M74" s="171">
        <v>1</v>
      </c>
      <c r="N74" s="172">
        <f t="shared" si="3"/>
        <v>10</v>
      </c>
      <c r="O74" s="173"/>
      <c r="P74" s="171"/>
      <c r="Q74" s="185"/>
      <c r="AL74" s="39"/>
      <c r="AM74" s="174"/>
    </row>
    <row r="75" spans="1:39" s="31" customFormat="1" ht="229.5" hidden="1" x14ac:dyDescent="0.2">
      <c r="A75" s="191" t="s">
        <v>787</v>
      </c>
      <c r="B75" s="156" t="s">
        <v>742</v>
      </c>
      <c r="C75" s="151" t="s">
        <v>186</v>
      </c>
      <c r="D75" s="170" t="s">
        <v>392</v>
      </c>
      <c r="E75" s="170" t="s">
        <v>530</v>
      </c>
      <c r="F75" s="170" t="s">
        <v>264</v>
      </c>
      <c r="G75" s="170">
        <v>4</v>
      </c>
      <c r="H75" s="170" t="s">
        <v>379</v>
      </c>
      <c r="I75" s="247" t="s">
        <v>836</v>
      </c>
      <c r="J75" s="173" t="s">
        <v>523</v>
      </c>
      <c r="K75" s="170" t="s">
        <v>376</v>
      </c>
      <c r="L75" s="171">
        <v>10</v>
      </c>
      <c r="M75" s="171">
        <v>1</v>
      </c>
      <c r="N75" s="172">
        <f t="shared" si="3"/>
        <v>10</v>
      </c>
      <c r="O75" s="173"/>
      <c r="P75" s="171"/>
      <c r="Q75" s="185"/>
      <c r="AL75" s="39"/>
      <c r="AM75" s="174"/>
    </row>
    <row r="76" spans="1:39" s="31" customFormat="1" ht="202.5" hidden="1" x14ac:dyDescent="0.2">
      <c r="A76" s="191" t="s">
        <v>787</v>
      </c>
      <c r="B76" s="156" t="s">
        <v>742</v>
      </c>
      <c r="C76" s="151" t="s">
        <v>188</v>
      </c>
      <c r="D76" s="170" t="s">
        <v>533</v>
      </c>
      <c r="E76" s="170" t="s">
        <v>266</v>
      </c>
      <c r="F76" s="170" t="s">
        <v>534</v>
      </c>
      <c r="G76" s="170">
        <v>4</v>
      </c>
      <c r="H76" s="170" t="s">
        <v>267</v>
      </c>
      <c r="I76" s="247" t="s">
        <v>836</v>
      </c>
      <c r="J76" s="170" t="s">
        <v>268</v>
      </c>
      <c r="K76" s="170" t="s">
        <v>269</v>
      </c>
      <c r="L76" s="171">
        <v>3</v>
      </c>
      <c r="M76" s="171">
        <v>0.3</v>
      </c>
      <c r="N76" s="172">
        <f t="shared" si="3"/>
        <v>0.89999999999999991</v>
      </c>
      <c r="O76" s="173"/>
      <c r="P76" s="171"/>
      <c r="Q76" s="185"/>
      <c r="AL76" s="39"/>
      <c r="AM76" s="174"/>
    </row>
    <row r="77" spans="1:39" s="31" customFormat="1" ht="90" hidden="1" customHeight="1" x14ac:dyDescent="0.2">
      <c r="A77" s="191" t="s">
        <v>787</v>
      </c>
      <c r="B77" s="156" t="s">
        <v>743</v>
      </c>
      <c r="C77" s="151" t="s">
        <v>747</v>
      </c>
      <c r="D77" s="170" t="s">
        <v>744</v>
      </c>
      <c r="E77" s="170" t="s">
        <v>748</v>
      </c>
      <c r="F77" s="170" t="s">
        <v>745</v>
      </c>
      <c r="G77" s="170"/>
      <c r="H77" s="170"/>
      <c r="I77" s="247" t="s">
        <v>837</v>
      </c>
      <c r="J77" s="170" t="s">
        <v>749</v>
      </c>
      <c r="K77" s="170" t="s">
        <v>746</v>
      </c>
      <c r="L77" s="171">
        <v>3</v>
      </c>
      <c r="M77" s="171">
        <v>0.03</v>
      </c>
      <c r="N77" s="172">
        <f t="shared" si="3"/>
        <v>0.09</v>
      </c>
      <c r="O77" s="173"/>
      <c r="P77" s="171"/>
      <c r="Q77" s="185"/>
      <c r="AL77" s="39"/>
      <c r="AM77" s="174"/>
    </row>
    <row r="78" spans="1:39" s="31" customFormat="1" ht="135" hidden="1" x14ac:dyDescent="0.2">
      <c r="A78" s="191" t="s">
        <v>787</v>
      </c>
      <c r="B78" s="156" t="s">
        <v>192</v>
      </c>
      <c r="C78" s="151" t="s">
        <v>194</v>
      </c>
      <c r="D78" s="170" t="s">
        <v>273</v>
      </c>
      <c r="E78" s="170" t="s">
        <v>335</v>
      </c>
      <c r="F78" s="170" t="s">
        <v>274</v>
      </c>
      <c r="G78" s="170">
        <v>4</v>
      </c>
      <c r="H78" s="170" t="s">
        <v>335</v>
      </c>
      <c r="I78" s="247" t="s">
        <v>837</v>
      </c>
      <c r="J78" s="170" t="s">
        <v>381</v>
      </c>
      <c r="K78" s="170" t="s">
        <v>275</v>
      </c>
      <c r="L78" s="171">
        <v>3</v>
      </c>
      <c r="M78" s="171">
        <v>1</v>
      </c>
      <c r="N78" s="172">
        <f t="shared" si="3"/>
        <v>3</v>
      </c>
      <c r="O78" s="173"/>
      <c r="P78" s="171"/>
      <c r="Q78" s="185"/>
      <c r="AL78" s="39"/>
      <c r="AM78" s="174"/>
    </row>
    <row r="79" spans="1:39" s="31" customFormat="1" ht="175.5" hidden="1" x14ac:dyDescent="0.2">
      <c r="A79" s="191" t="s">
        <v>787</v>
      </c>
      <c r="B79" s="156" t="s">
        <v>196</v>
      </c>
      <c r="C79" s="151" t="s">
        <v>195</v>
      </c>
      <c r="D79" s="170" t="s">
        <v>540</v>
      </c>
      <c r="E79" s="170" t="s">
        <v>541</v>
      </c>
      <c r="F79" s="170" t="s">
        <v>250</v>
      </c>
      <c r="G79" s="170">
        <v>4</v>
      </c>
      <c r="H79" s="170" t="s">
        <v>276</v>
      </c>
      <c r="I79" s="247" t="s">
        <v>838</v>
      </c>
      <c r="J79" s="170" t="s">
        <v>280</v>
      </c>
      <c r="K79" s="170" t="s">
        <v>281</v>
      </c>
      <c r="L79" s="171">
        <v>3</v>
      </c>
      <c r="M79" s="171">
        <v>0.3</v>
      </c>
      <c r="N79" s="172">
        <f t="shared" si="3"/>
        <v>0.89999999999999991</v>
      </c>
      <c r="O79" s="173"/>
      <c r="P79" s="171"/>
      <c r="Q79" s="185"/>
      <c r="AL79" s="39"/>
      <c r="AM79" s="174"/>
    </row>
    <row r="80" spans="1:39" s="31" customFormat="1" ht="175.5" hidden="1" x14ac:dyDescent="0.2">
      <c r="A80" s="191" t="s">
        <v>787</v>
      </c>
      <c r="B80" s="156" t="s">
        <v>204</v>
      </c>
      <c r="C80" s="151" t="s">
        <v>205</v>
      </c>
      <c r="D80" s="170" t="s">
        <v>393</v>
      </c>
      <c r="E80" s="170" t="s">
        <v>555</v>
      </c>
      <c r="F80" s="170" t="s">
        <v>556</v>
      </c>
      <c r="G80" s="170">
        <v>3</v>
      </c>
      <c r="H80" s="170" t="s">
        <v>282</v>
      </c>
      <c r="I80" s="247" t="s">
        <v>839</v>
      </c>
      <c r="J80" s="170" t="s">
        <v>283</v>
      </c>
      <c r="K80" s="170" t="s">
        <v>284</v>
      </c>
      <c r="L80" s="171">
        <v>10</v>
      </c>
      <c r="M80" s="171">
        <v>1</v>
      </c>
      <c r="N80" s="172">
        <f t="shared" si="3"/>
        <v>10</v>
      </c>
      <c r="O80" s="170"/>
      <c r="P80" s="171"/>
      <c r="Q80" s="185"/>
      <c r="AL80" s="39"/>
      <c r="AM80" s="174"/>
    </row>
    <row r="81" spans="1:39" s="31" customFormat="1" ht="243" hidden="1" x14ac:dyDescent="0.2">
      <c r="A81" s="191" t="s">
        <v>787</v>
      </c>
      <c r="B81" s="155" t="s">
        <v>213</v>
      </c>
      <c r="C81" s="151" t="s">
        <v>182</v>
      </c>
      <c r="D81" s="170" t="s">
        <v>270</v>
      </c>
      <c r="E81" s="170" t="s">
        <v>521</v>
      </c>
      <c r="F81" s="170" t="s">
        <v>522</v>
      </c>
      <c r="G81" s="170">
        <v>4</v>
      </c>
      <c r="H81" s="170" t="s">
        <v>455</v>
      </c>
      <c r="I81" s="248" t="s">
        <v>813</v>
      </c>
      <c r="J81" s="170" t="s">
        <v>456</v>
      </c>
      <c r="K81" s="170" t="s">
        <v>258</v>
      </c>
      <c r="L81" s="171">
        <v>10</v>
      </c>
      <c r="M81" s="171">
        <v>1</v>
      </c>
      <c r="N81" s="172">
        <f t="shared" si="3"/>
        <v>10</v>
      </c>
      <c r="O81" s="173"/>
      <c r="P81" s="171"/>
      <c r="Q81" s="185"/>
      <c r="AL81" s="39"/>
      <c r="AM81" s="174"/>
    </row>
    <row r="82" spans="1:39" s="31" customFormat="1" ht="191.25" hidden="1" x14ac:dyDescent="0.2">
      <c r="A82" s="191" t="s">
        <v>750</v>
      </c>
      <c r="B82" s="155" t="s">
        <v>223</v>
      </c>
      <c r="C82" s="152" t="s">
        <v>225</v>
      </c>
      <c r="D82" s="170" t="s">
        <v>300</v>
      </c>
      <c r="E82" s="170" t="s">
        <v>308</v>
      </c>
      <c r="F82" s="170" t="s">
        <v>309</v>
      </c>
      <c r="G82" s="170">
        <v>3</v>
      </c>
      <c r="H82" s="170" t="s">
        <v>310</v>
      </c>
      <c r="I82" s="254" t="s">
        <v>840</v>
      </c>
      <c r="J82" s="170" t="s">
        <v>285</v>
      </c>
      <c r="K82" s="170" t="s">
        <v>397</v>
      </c>
      <c r="L82" s="171">
        <v>10</v>
      </c>
      <c r="M82" s="171">
        <v>1</v>
      </c>
      <c r="N82" s="172">
        <f t="shared" si="3"/>
        <v>10</v>
      </c>
      <c r="O82" s="173"/>
      <c r="P82" s="171"/>
      <c r="Q82" s="185"/>
      <c r="AL82" s="39"/>
      <c r="AM82" s="174"/>
    </row>
    <row r="83" spans="1:39" s="51" customFormat="1" ht="162" hidden="1" x14ac:dyDescent="0.2">
      <c r="A83" s="191" t="s">
        <v>750</v>
      </c>
      <c r="B83" s="155" t="s">
        <v>223</v>
      </c>
      <c r="C83" s="149" t="s">
        <v>226</v>
      </c>
      <c r="D83" s="180" t="s">
        <v>473</v>
      </c>
      <c r="E83" s="180" t="s">
        <v>313</v>
      </c>
      <c r="F83" s="180" t="s">
        <v>314</v>
      </c>
      <c r="G83" s="180">
        <v>3</v>
      </c>
      <c r="H83" s="180" t="s">
        <v>299</v>
      </c>
      <c r="I83" s="246" t="s">
        <v>837</v>
      </c>
      <c r="J83" s="180" t="s">
        <v>382</v>
      </c>
      <c r="K83" s="180" t="s">
        <v>397</v>
      </c>
      <c r="L83" s="181">
        <v>10</v>
      </c>
      <c r="M83" s="181">
        <v>1</v>
      </c>
      <c r="N83" s="231">
        <f t="shared" si="3"/>
        <v>10</v>
      </c>
      <c r="O83" s="224"/>
      <c r="P83" s="237"/>
      <c r="Q83" s="183"/>
      <c r="R83" s="31"/>
      <c r="S83" s="31"/>
      <c r="T83" s="31"/>
      <c r="U83" s="31"/>
      <c r="V83" s="31"/>
      <c r="W83" s="31"/>
      <c r="X83" s="31"/>
      <c r="Y83" s="31"/>
      <c r="Z83" s="31"/>
      <c r="AA83" s="31"/>
      <c r="AB83" s="31"/>
      <c r="AC83" s="31"/>
      <c r="AD83" s="31"/>
      <c r="AE83" s="31"/>
      <c r="AF83" s="31"/>
      <c r="AG83" s="31"/>
      <c r="AH83" s="31"/>
      <c r="AI83" s="31"/>
      <c r="AJ83" s="31"/>
      <c r="AK83" s="31"/>
      <c r="AL83" s="39"/>
      <c r="AM83" s="174"/>
    </row>
    <row r="84" spans="1:39" s="51" customFormat="1" ht="175.5" hidden="1" x14ac:dyDescent="0.2">
      <c r="A84" s="191" t="s">
        <v>750</v>
      </c>
      <c r="B84" s="156" t="s">
        <v>227</v>
      </c>
      <c r="C84" s="151" t="s">
        <v>188</v>
      </c>
      <c r="D84" s="170" t="s">
        <v>473</v>
      </c>
      <c r="E84" s="170" t="s">
        <v>335</v>
      </c>
      <c r="F84" s="170" t="s">
        <v>307</v>
      </c>
      <c r="G84" s="170">
        <v>4</v>
      </c>
      <c r="H84" s="170" t="s">
        <v>455</v>
      </c>
      <c r="I84" s="247" t="s">
        <v>836</v>
      </c>
      <c r="J84" s="170" t="s">
        <v>411</v>
      </c>
      <c r="K84" s="170" t="s">
        <v>359</v>
      </c>
      <c r="L84" s="171">
        <v>10</v>
      </c>
      <c r="M84" s="171">
        <v>1</v>
      </c>
      <c r="N84" s="229">
        <f t="shared" si="3"/>
        <v>10</v>
      </c>
      <c r="O84" s="173"/>
      <c r="P84" s="235"/>
      <c r="Q84" s="185"/>
      <c r="R84" s="31"/>
      <c r="S84" s="31"/>
      <c r="T84" s="31"/>
      <c r="U84" s="31"/>
      <c r="V84" s="31"/>
      <c r="W84" s="31"/>
      <c r="X84" s="31"/>
      <c r="Y84" s="31"/>
      <c r="Z84" s="31"/>
      <c r="AA84" s="31"/>
      <c r="AB84" s="31"/>
      <c r="AC84" s="31"/>
      <c r="AD84" s="31"/>
      <c r="AE84" s="31"/>
      <c r="AF84" s="31"/>
      <c r="AG84" s="31"/>
      <c r="AH84" s="31"/>
      <c r="AI84" s="31"/>
      <c r="AJ84" s="31"/>
      <c r="AK84" s="31"/>
      <c r="AL84" s="39"/>
      <c r="AM84" s="174"/>
    </row>
    <row r="85" spans="1:39" s="51" customFormat="1" ht="202.5" hidden="1" x14ac:dyDescent="0.2">
      <c r="A85" s="191" t="s">
        <v>750</v>
      </c>
      <c r="B85" s="156" t="s">
        <v>623</v>
      </c>
      <c r="C85" s="260" t="s">
        <v>225</v>
      </c>
      <c r="D85" s="260" t="s">
        <v>473</v>
      </c>
      <c r="E85" s="260" t="s">
        <v>332</v>
      </c>
      <c r="F85" s="260" t="s">
        <v>333</v>
      </c>
      <c r="G85" s="170">
        <v>3</v>
      </c>
      <c r="H85" s="170" t="s">
        <v>481</v>
      </c>
      <c r="I85" s="254" t="s">
        <v>840</v>
      </c>
      <c r="J85" s="170" t="s">
        <v>435</v>
      </c>
      <c r="K85" s="170" t="s">
        <v>397</v>
      </c>
      <c r="L85" s="171">
        <v>3</v>
      </c>
      <c r="M85" s="171">
        <v>1</v>
      </c>
      <c r="N85" s="229">
        <f t="shared" si="3"/>
        <v>3</v>
      </c>
      <c r="O85" s="173"/>
      <c r="P85" s="235"/>
      <c r="Q85" s="185"/>
      <c r="R85" s="31"/>
      <c r="S85" s="31"/>
      <c r="T85" s="31"/>
      <c r="U85" s="31"/>
      <c r="V85" s="31"/>
      <c r="W85" s="31"/>
      <c r="X85" s="31"/>
      <c r="Y85" s="31"/>
      <c r="Z85" s="31"/>
      <c r="AA85" s="31"/>
      <c r="AB85" s="31"/>
      <c r="AC85" s="31"/>
      <c r="AD85" s="31"/>
      <c r="AE85" s="31"/>
      <c r="AF85" s="31"/>
      <c r="AG85" s="31"/>
      <c r="AH85" s="31"/>
      <c r="AI85" s="31"/>
      <c r="AJ85" s="31"/>
      <c r="AK85" s="31"/>
      <c r="AL85" s="39"/>
      <c r="AM85" s="174"/>
    </row>
    <row r="86" spans="1:39" s="51" customFormat="1" ht="202.5" hidden="1" x14ac:dyDescent="0.2">
      <c r="A86" s="191" t="s">
        <v>750</v>
      </c>
      <c r="B86" s="156" t="s">
        <v>624</v>
      </c>
      <c r="C86" s="152" t="s">
        <v>225</v>
      </c>
      <c r="D86" s="170" t="s">
        <v>334</v>
      </c>
      <c r="E86" s="187" t="s">
        <v>442</v>
      </c>
      <c r="F86" s="188" t="s">
        <v>439</v>
      </c>
      <c r="G86" s="170">
        <v>4</v>
      </c>
      <c r="H86" s="170" t="s">
        <v>481</v>
      </c>
      <c r="I86" s="248" t="s">
        <v>840</v>
      </c>
      <c r="J86" s="184" t="s">
        <v>443</v>
      </c>
      <c r="K86" s="170" t="s">
        <v>355</v>
      </c>
      <c r="L86" s="171">
        <v>10</v>
      </c>
      <c r="M86" s="171">
        <v>1</v>
      </c>
      <c r="N86" s="229">
        <f t="shared" si="3"/>
        <v>10</v>
      </c>
      <c r="O86" s="173"/>
      <c r="P86" s="235"/>
      <c r="Q86" s="185"/>
      <c r="R86" s="31"/>
      <c r="S86" s="31"/>
      <c r="T86" s="31"/>
      <c r="U86" s="31"/>
      <c r="V86" s="31"/>
      <c r="W86" s="31"/>
      <c r="X86" s="31"/>
      <c r="Y86" s="31"/>
      <c r="Z86" s="31"/>
      <c r="AA86" s="31"/>
      <c r="AB86" s="31"/>
      <c r="AC86" s="31"/>
      <c r="AD86" s="31"/>
      <c r="AE86" s="31"/>
      <c r="AF86" s="31"/>
      <c r="AG86" s="31"/>
      <c r="AH86" s="31"/>
      <c r="AI86" s="31"/>
      <c r="AJ86" s="31"/>
      <c r="AK86" s="31"/>
      <c r="AL86" s="39"/>
      <c r="AM86" s="174"/>
    </row>
    <row r="87" spans="1:39" s="51" customFormat="1" ht="191.25" hidden="1" x14ac:dyDescent="0.2">
      <c r="A87" s="191" t="s">
        <v>750</v>
      </c>
      <c r="B87" s="156" t="s">
        <v>625</v>
      </c>
      <c r="C87" s="260" t="s">
        <v>225</v>
      </c>
      <c r="D87" s="260" t="s">
        <v>334</v>
      </c>
      <c r="E87" s="260" t="s">
        <v>332</v>
      </c>
      <c r="F87" s="260" t="s">
        <v>333</v>
      </c>
      <c r="G87" s="260">
        <v>3</v>
      </c>
      <c r="H87" s="260" t="s">
        <v>481</v>
      </c>
      <c r="I87" s="260" t="s">
        <v>840</v>
      </c>
      <c r="J87" s="260" t="s">
        <v>412</v>
      </c>
      <c r="K87" s="260" t="s">
        <v>397</v>
      </c>
      <c r="L87" s="171">
        <v>10</v>
      </c>
      <c r="M87" s="171">
        <v>1</v>
      </c>
      <c r="N87" s="229">
        <f t="shared" si="3"/>
        <v>10</v>
      </c>
      <c r="O87" s="173"/>
      <c r="P87" s="235"/>
      <c r="Q87" s="185"/>
      <c r="R87" s="31"/>
      <c r="S87" s="31"/>
      <c r="T87" s="31"/>
      <c r="U87" s="31"/>
      <c r="V87" s="31"/>
      <c r="W87" s="31"/>
      <c r="X87" s="31"/>
      <c r="Y87" s="31"/>
      <c r="Z87" s="31"/>
      <c r="AA87" s="31"/>
      <c r="AB87" s="31"/>
      <c r="AC87" s="31"/>
      <c r="AD87" s="31"/>
      <c r="AE87" s="31"/>
      <c r="AF87" s="31"/>
      <c r="AG87" s="31"/>
      <c r="AH87" s="31"/>
      <c r="AI87" s="31"/>
      <c r="AJ87" s="31"/>
      <c r="AK87" s="31"/>
      <c r="AL87" s="39"/>
      <c r="AM87" s="174"/>
    </row>
    <row r="88" spans="1:39" s="51" customFormat="1" ht="202.5" hidden="1" x14ac:dyDescent="0.2">
      <c r="A88" s="191" t="s">
        <v>750</v>
      </c>
      <c r="B88" s="156" t="s">
        <v>231</v>
      </c>
      <c r="C88" s="152" t="s">
        <v>225</v>
      </c>
      <c r="D88" s="170" t="s">
        <v>473</v>
      </c>
      <c r="E88" s="187" t="s">
        <v>332</v>
      </c>
      <c r="F88" s="188" t="s">
        <v>333</v>
      </c>
      <c r="G88" s="170">
        <v>3</v>
      </c>
      <c r="H88" s="170" t="s">
        <v>481</v>
      </c>
      <c r="I88" s="248" t="s">
        <v>840</v>
      </c>
      <c r="J88" s="170" t="s">
        <v>861</v>
      </c>
      <c r="K88" s="170" t="s">
        <v>355</v>
      </c>
      <c r="L88" s="171">
        <v>10</v>
      </c>
      <c r="M88" s="171">
        <v>1</v>
      </c>
      <c r="N88" s="229">
        <f t="shared" si="3"/>
        <v>10</v>
      </c>
      <c r="O88" s="173"/>
      <c r="P88" s="235"/>
      <c r="Q88" s="185"/>
      <c r="R88" s="31"/>
      <c r="S88" s="31"/>
      <c r="T88" s="31"/>
      <c r="U88" s="31"/>
      <c r="V88" s="31"/>
      <c r="W88" s="31"/>
      <c r="X88" s="31"/>
      <c r="Y88" s="31"/>
      <c r="Z88" s="31"/>
      <c r="AA88" s="31"/>
      <c r="AB88" s="31"/>
      <c r="AC88" s="31"/>
      <c r="AD88" s="31"/>
      <c r="AE88" s="31"/>
      <c r="AF88" s="31"/>
      <c r="AG88" s="31"/>
      <c r="AH88" s="31"/>
      <c r="AI88" s="31"/>
      <c r="AJ88" s="31"/>
      <c r="AK88" s="31"/>
      <c r="AL88" s="39"/>
      <c r="AM88" s="174"/>
    </row>
    <row r="89" spans="1:39" s="51" customFormat="1" ht="202.5" hidden="1" x14ac:dyDescent="0.2">
      <c r="A89" s="191" t="s">
        <v>750</v>
      </c>
      <c r="B89" s="156" t="s">
        <v>235</v>
      </c>
      <c r="C89" s="152" t="s">
        <v>225</v>
      </c>
      <c r="D89" s="170" t="s">
        <v>334</v>
      </c>
      <c r="E89" s="187" t="s">
        <v>438</v>
      </c>
      <c r="F89" s="188" t="s">
        <v>439</v>
      </c>
      <c r="G89" s="170">
        <v>3</v>
      </c>
      <c r="H89" s="170" t="s">
        <v>481</v>
      </c>
      <c r="I89" s="248" t="s">
        <v>840</v>
      </c>
      <c r="J89" s="170" t="s">
        <v>415</v>
      </c>
      <c r="K89" s="170" t="s">
        <v>397</v>
      </c>
      <c r="L89" s="171">
        <v>10</v>
      </c>
      <c r="M89" s="171">
        <v>1</v>
      </c>
      <c r="N89" s="229">
        <f t="shared" si="3"/>
        <v>10</v>
      </c>
      <c r="O89" s="173"/>
      <c r="P89" s="235"/>
      <c r="Q89" s="185"/>
      <c r="R89" s="31"/>
      <c r="S89" s="31"/>
      <c r="T89" s="31"/>
      <c r="U89" s="31"/>
      <c r="V89" s="31"/>
      <c r="W89" s="31"/>
      <c r="X89" s="31"/>
      <c r="Y89" s="31"/>
      <c r="Z89" s="31"/>
      <c r="AA89" s="31"/>
      <c r="AB89" s="31"/>
      <c r="AC89" s="31"/>
      <c r="AD89" s="31"/>
      <c r="AE89" s="31"/>
      <c r="AF89" s="31"/>
      <c r="AG89" s="31"/>
      <c r="AH89" s="31"/>
      <c r="AI89" s="31"/>
      <c r="AJ89" s="31"/>
      <c r="AK89" s="31"/>
      <c r="AL89" s="39"/>
      <c r="AM89" s="174"/>
    </row>
    <row r="90" spans="1:39" s="51" customFormat="1" ht="149.25" hidden="1" thickBot="1" x14ac:dyDescent="0.25">
      <c r="A90" s="191" t="s">
        <v>787</v>
      </c>
      <c r="B90" s="156" t="s">
        <v>690</v>
      </c>
      <c r="C90" s="199" t="s">
        <v>186</v>
      </c>
      <c r="D90" s="202" t="s">
        <v>661</v>
      </c>
      <c r="E90" s="225" t="s">
        <v>662</v>
      </c>
      <c r="F90" s="202" t="s">
        <v>663</v>
      </c>
      <c r="G90" s="195">
        <v>5</v>
      </c>
      <c r="H90" s="202" t="s">
        <v>664</v>
      </c>
      <c r="I90" s="255" t="s">
        <v>841</v>
      </c>
      <c r="J90" s="202" t="s">
        <v>665</v>
      </c>
      <c r="K90" s="202" t="s">
        <v>666</v>
      </c>
      <c r="L90" s="203">
        <v>10</v>
      </c>
      <c r="M90" s="203">
        <v>0.3</v>
      </c>
      <c r="N90" s="204">
        <f t="shared" si="3"/>
        <v>3</v>
      </c>
      <c r="O90" s="200"/>
      <c r="P90" s="201"/>
      <c r="Q90" s="205"/>
    </row>
    <row r="91" spans="1:39" s="51" customFormat="1" ht="189" hidden="1" x14ac:dyDescent="0.2">
      <c r="A91" s="191" t="s">
        <v>787</v>
      </c>
      <c r="B91" s="220" t="s">
        <v>690</v>
      </c>
      <c r="C91" s="222" t="s">
        <v>188</v>
      </c>
      <c r="D91" s="202" t="s">
        <v>671</v>
      </c>
      <c r="E91" s="202" t="s">
        <v>672</v>
      </c>
      <c r="F91" s="202" t="s">
        <v>663</v>
      </c>
      <c r="G91" s="195">
        <v>5</v>
      </c>
      <c r="H91" s="226" t="s">
        <v>673</v>
      </c>
      <c r="I91" s="256" t="s">
        <v>842</v>
      </c>
      <c r="J91" s="202" t="s">
        <v>674</v>
      </c>
      <c r="K91" s="202" t="s">
        <v>675</v>
      </c>
      <c r="L91" s="203">
        <v>10</v>
      </c>
      <c r="M91" s="203">
        <v>3</v>
      </c>
      <c r="N91" s="204">
        <f t="shared" si="3"/>
        <v>30</v>
      </c>
      <c r="O91" s="234"/>
      <c r="P91" s="236"/>
      <c r="Q91" s="236"/>
    </row>
    <row r="92" spans="1:39" s="51" customFormat="1" ht="94.5" hidden="1" x14ac:dyDescent="0.2">
      <c r="A92" s="192" t="s">
        <v>787</v>
      </c>
      <c r="B92" s="241" t="s">
        <v>697</v>
      </c>
      <c r="C92" s="202" t="s">
        <v>705</v>
      </c>
      <c r="D92" s="202" t="s">
        <v>706</v>
      </c>
      <c r="E92" s="202" t="s">
        <v>707</v>
      </c>
      <c r="F92" s="202" t="s">
        <v>708</v>
      </c>
      <c r="G92" s="202">
        <v>3</v>
      </c>
      <c r="H92" s="202"/>
      <c r="I92" s="257"/>
      <c r="J92" s="202" t="s">
        <v>709</v>
      </c>
      <c r="K92" s="202" t="s">
        <v>711</v>
      </c>
      <c r="L92" s="176">
        <v>10</v>
      </c>
      <c r="M92" s="176">
        <v>3</v>
      </c>
      <c r="N92" s="176">
        <v>30</v>
      </c>
      <c r="O92" s="175"/>
      <c r="P92" s="176"/>
      <c r="Q92" s="175"/>
    </row>
    <row r="93" spans="1:39" s="51" customFormat="1" ht="76.5" hidden="1" x14ac:dyDescent="0.2">
      <c r="A93" s="192" t="s">
        <v>787</v>
      </c>
      <c r="B93" s="241" t="s">
        <v>698</v>
      </c>
      <c r="C93" s="260" t="s">
        <v>712</v>
      </c>
      <c r="D93" s="260" t="s">
        <v>713</v>
      </c>
      <c r="E93" s="260" t="s">
        <v>714</v>
      </c>
      <c r="F93" s="260" t="s">
        <v>715</v>
      </c>
      <c r="G93" s="202">
        <v>3</v>
      </c>
      <c r="H93" s="202"/>
      <c r="I93" s="257"/>
      <c r="J93" s="202" t="s">
        <v>716</v>
      </c>
      <c r="K93" s="202" t="s">
        <v>711</v>
      </c>
      <c r="L93" s="176">
        <v>10</v>
      </c>
      <c r="M93" s="176">
        <v>3</v>
      </c>
      <c r="N93" s="176">
        <v>30</v>
      </c>
      <c r="O93" s="175"/>
      <c r="P93" s="176"/>
      <c r="Q93" s="175"/>
    </row>
    <row r="94" spans="1:39" s="51" customFormat="1" ht="76.5" hidden="1" x14ac:dyDescent="0.2">
      <c r="A94" s="192" t="s">
        <v>787</v>
      </c>
      <c r="B94" s="241" t="s">
        <v>700</v>
      </c>
      <c r="C94" s="260" t="s">
        <v>722</v>
      </c>
      <c r="D94" s="260" t="s">
        <v>723</v>
      </c>
      <c r="E94" s="260" t="s">
        <v>306</v>
      </c>
      <c r="F94" s="260" t="s">
        <v>724</v>
      </c>
      <c r="G94" s="202">
        <v>3</v>
      </c>
      <c r="H94" s="202"/>
      <c r="I94" s="257"/>
      <c r="J94" s="202" t="s">
        <v>721</v>
      </c>
      <c r="K94" s="202" t="s">
        <v>711</v>
      </c>
      <c r="L94" s="176">
        <v>10</v>
      </c>
      <c r="M94" s="176">
        <v>3</v>
      </c>
      <c r="N94" s="176">
        <v>30</v>
      </c>
      <c r="O94" s="175"/>
      <c r="P94" s="176"/>
      <c r="Q94" s="175"/>
    </row>
    <row r="95" spans="1:39" s="51" customFormat="1" ht="94.5" hidden="1" x14ac:dyDescent="0.2">
      <c r="A95" s="192" t="s">
        <v>787</v>
      </c>
      <c r="B95" s="241" t="s">
        <v>701</v>
      </c>
      <c r="C95" s="260" t="s">
        <v>725</v>
      </c>
      <c r="D95" s="260" t="s">
        <v>355</v>
      </c>
      <c r="E95" s="260" t="s">
        <v>726</v>
      </c>
      <c r="F95" s="260" t="s">
        <v>720</v>
      </c>
      <c r="G95" s="202">
        <v>3</v>
      </c>
      <c r="H95" s="202"/>
      <c r="I95" s="257"/>
      <c r="J95" s="202" t="s">
        <v>727</v>
      </c>
      <c r="K95" s="202" t="s">
        <v>711</v>
      </c>
      <c r="L95" s="176">
        <v>10</v>
      </c>
      <c r="M95" s="176">
        <v>3</v>
      </c>
      <c r="N95" s="176">
        <v>30</v>
      </c>
      <c r="O95" s="175"/>
      <c r="P95" s="176"/>
      <c r="Q95" s="175"/>
    </row>
    <row r="96" spans="1:39" s="51" customFormat="1" ht="148.5" hidden="1" x14ac:dyDescent="0.2">
      <c r="A96" s="217" t="s">
        <v>787</v>
      </c>
      <c r="B96" s="219" t="s">
        <v>643</v>
      </c>
      <c r="C96" s="260" t="s">
        <v>691</v>
      </c>
      <c r="D96" s="260" t="s">
        <v>692</v>
      </c>
      <c r="E96" s="260" t="s">
        <v>693</v>
      </c>
      <c r="F96" s="260" t="s">
        <v>694</v>
      </c>
      <c r="G96" s="223"/>
      <c r="H96" s="223"/>
      <c r="I96" s="258"/>
      <c r="J96" s="223" t="s">
        <v>695</v>
      </c>
      <c r="K96" s="202" t="s">
        <v>729</v>
      </c>
      <c r="L96" s="176">
        <v>10</v>
      </c>
      <c r="M96" s="176">
        <v>3</v>
      </c>
      <c r="N96" s="176">
        <v>30</v>
      </c>
      <c r="O96" s="233"/>
      <c r="P96" s="227"/>
      <c r="Q96" s="227"/>
      <c r="R96" s="31"/>
      <c r="S96" s="31"/>
      <c r="T96" s="31"/>
      <c r="U96" s="31"/>
      <c r="V96" s="31"/>
      <c r="W96" s="31"/>
      <c r="X96" s="31"/>
      <c r="Y96" s="31"/>
      <c r="Z96" s="31"/>
      <c r="AA96" s="31"/>
      <c r="AB96" s="31"/>
      <c r="AC96" s="31"/>
      <c r="AD96" s="31"/>
      <c r="AE96" s="31"/>
      <c r="AF96" s="31"/>
      <c r="AG96" s="31"/>
      <c r="AH96" s="31"/>
      <c r="AI96" s="31"/>
      <c r="AJ96" s="31"/>
      <c r="AK96" s="31"/>
      <c r="AL96" s="39"/>
      <c r="AM96" s="174"/>
    </row>
    <row r="97" spans="1:17" s="51" customFormat="1" ht="64.5" hidden="1" x14ac:dyDescent="0.2">
      <c r="A97" s="191" t="s">
        <v>750</v>
      </c>
      <c r="B97" s="269" t="s">
        <v>751</v>
      </c>
      <c r="C97" s="260" t="s">
        <v>752</v>
      </c>
      <c r="D97" s="260" t="s">
        <v>753</v>
      </c>
      <c r="E97" s="260" t="s">
        <v>754</v>
      </c>
      <c r="F97" s="260" t="s">
        <v>755</v>
      </c>
      <c r="G97" s="260">
        <v>4</v>
      </c>
      <c r="H97" s="260" t="s">
        <v>756</v>
      </c>
      <c r="I97" s="261" t="s">
        <v>757</v>
      </c>
      <c r="J97" s="260" t="s">
        <v>758</v>
      </c>
      <c r="K97" s="261" t="s">
        <v>759</v>
      </c>
      <c r="L97" s="176">
        <v>10</v>
      </c>
      <c r="M97" s="176">
        <v>3</v>
      </c>
      <c r="N97" s="176">
        <v>30</v>
      </c>
      <c r="O97" s="248"/>
      <c r="P97" s="171"/>
      <c r="Q97" s="175"/>
    </row>
    <row r="98" spans="1:17" s="51" customFormat="1" ht="64.5" hidden="1" x14ac:dyDescent="0.2">
      <c r="A98" s="191" t="s">
        <v>750</v>
      </c>
      <c r="B98" s="269" t="s">
        <v>760</v>
      </c>
      <c r="C98" s="259" t="s">
        <v>752</v>
      </c>
      <c r="D98" s="259" t="s">
        <v>761</v>
      </c>
      <c r="E98" s="259" t="s">
        <v>754</v>
      </c>
      <c r="F98" s="259" t="s">
        <v>762</v>
      </c>
      <c r="G98" s="259">
        <v>3</v>
      </c>
      <c r="H98" s="259" t="s">
        <v>763</v>
      </c>
      <c r="I98" s="261" t="s">
        <v>764</v>
      </c>
      <c r="J98" s="260" t="s">
        <v>765</v>
      </c>
      <c r="K98" s="262" t="s">
        <v>759</v>
      </c>
      <c r="L98" s="176">
        <v>10</v>
      </c>
      <c r="M98" s="176">
        <v>3</v>
      </c>
      <c r="N98" s="176">
        <v>30</v>
      </c>
      <c r="O98" s="248"/>
      <c r="P98" s="171"/>
      <c r="Q98" s="175"/>
    </row>
    <row r="99" spans="1:17" s="51" customFormat="1" ht="64.5" hidden="1" x14ac:dyDescent="0.2">
      <c r="A99" s="191" t="s">
        <v>750</v>
      </c>
      <c r="B99" s="270" t="s">
        <v>766</v>
      </c>
      <c r="C99" s="259" t="s">
        <v>752</v>
      </c>
      <c r="D99" s="259" t="s">
        <v>753</v>
      </c>
      <c r="E99" s="259" t="s">
        <v>754</v>
      </c>
      <c r="F99" s="259" t="s">
        <v>767</v>
      </c>
      <c r="G99" s="259">
        <v>3</v>
      </c>
      <c r="H99" s="259"/>
      <c r="I99" s="263" t="s">
        <v>768</v>
      </c>
      <c r="J99" s="260" t="s">
        <v>769</v>
      </c>
      <c r="K99" s="262" t="s">
        <v>759</v>
      </c>
      <c r="L99" s="176">
        <v>10</v>
      </c>
      <c r="M99" s="176">
        <v>3</v>
      </c>
      <c r="N99" s="176">
        <v>30</v>
      </c>
      <c r="O99" s="248"/>
      <c r="P99" s="171"/>
      <c r="Q99" s="175"/>
    </row>
    <row r="100" spans="1:17" s="51" customFormat="1" ht="76.5" hidden="1" x14ac:dyDescent="0.2">
      <c r="A100" s="191" t="s">
        <v>750</v>
      </c>
      <c r="B100" s="270" t="s">
        <v>770</v>
      </c>
      <c r="C100" s="260" t="s">
        <v>863</v>
      </c>
      <c r="D100" s="260" t="s">
        <v>771</v>
      </c>
      <c r="E100" s="265" t="s">
        <v>772</v>
      </c>
      <c r="F100" s="260" t="s">
        <v>773</v>
      </c>
      <c r="G100" s="260">
        <v>3</v>
      </c>
      <c r="H100" s="264" t="s">
        <v>774</v>
      </c>
      <c r="I100" s="263" t="s">
        <v>775</v>
      </c>
      <c r="J100" s="260" t="s">
        <v>864</v>
      </c>
      <c r="K100" s="262" t="s">
        <v>759</v>
      </c>
      <c r="L100" s="176">
        <v>10</v>
      </c>
      <c r="M100" s="176">
        <v>3</v>
      </c>
      <c r="N100" s="176">
        <v>30</v>
      </c>
      <c r="O100" s="248"/>
      <c r="P100" s="171"/>
      <c r="Q100" s="175"/>
    </row>
    <row r="101" spans="1:17" s="51" customFormat="1" ht="114.75" hidden="1" x14ac:dyDescent="0.2">
      <c r="A101" s="191" t="s">
        <v>750</v>
      </c>
      <c r="B101" s="270" t="s">
        <v>857</v>
      </c>
      <c r="C101" s="260" t="s">
        <v>776</v>
      </c>
      <c r="D101" s="260" t="s">
        <v>771</v>
      </c>
      <c r="E101" s="260" t="s">
        <v>482</v>
      </c>
      <c r="F101" s="260" t="s">
        <v>773</v>
      </c>
      <c r="G101" s="266">
        <v>3</v>
      </c>
      <c r="H101" s="260" t="s">
        <v>756</v>
      </c>
      <c r="I101" s="267" t="s">
        <v>777</v>
      </c>
      <c r="J101" s="260" t="s">
        <v>778</v>
      </c>
      <c r="K101" s="262" t="s">
        <v>759</v>
      </c>
      <c r="L101" s="176">
        <v>10</v>
      </c>
      <c r="M101" s="176">
        <v>3</v>
      </c>
      <c r="N101" s="176">
        <v>30</v>
      </c>
      <c r="O101" s="248"/>
      <c r="P101" s="171"/>
      <c r="Q101" s="175"/>
    </row>
    <row r="102" spans="1:17" s="51" customFormat="1" ht="127.5" hidden="1" x14ac:dyDescent="0.2">
      <c r="A102" s="191" t="s">
        <v>750</v>
      </c>
      <c r="B102" s="271" t="s">
        <v>779</v>
      </c>
      <c r="C102" s="264" t="s">
        <v>780</v>
      </c>
      <c r="D102" s="260" t="s">
        <v>771</v>
      </c>
      <c r="E102" s="260" t="s">
        <v>482</v>
      </c>
      <c r="F102" s="260" t="s">
        <v>773</v>
      </c>
      <c r="G102" s="266">
        <v>3</v>
      </c>
      <c r="H102" s="260" t="s">
        <v>756</v>
      </c>
      <c r="I102" s="267" t="s">
        <v>781</v>
      </c>
      <c r="J102" s="261" t="s">
        <v>782</v>
      </c>
      <c r="K102" s="262" t="s">
        <v>759</v>
      </c>
      <c r="L102" s="176">
        <v>10</v>
      </c>
      <c r="M102" s="176">
        <v>3</v>
      </c>
      <c r="N102" s="176">
        <v>30</v>
      </c>
      <c r="O102" s="248"/>
      <c r="P102" s="171"/>
      <c r="Q102" s="175"/>
    </row>
    <row r="103" spans="1:17" s="51" customFormat="1" ht="135" hidden="1" x14ac:dyDescent="0.2">
      <c r="A103" s="191" t="s">
        <v>750</v>
      </c>
      <c r="B103" s="269" t="s">
        <v>783</v>
      </c>
      <c r="C103" s="264" t="s">
        <v>780</v>
      </c>
      <c r="D103" s="260" t="s">
        <v>784</v>
      </c>
      <c r="E103" s="260" t="s">
        <v>482</v>
      </c>
      <c r="F103" s="262" t="s">
        <v>785</v>
      </c>
      <c r="G103" s="268"/>
      <c r="H103" s="170" t="s">
        <v>482</v>
      </c>
      <c r="I103" s="267" t="s">
        <v>781</v>
      </c>
      <c r="J103" s="260" t="s">
        <v>786</v>
      </c>
      <c r="K103" s="262" t="s">
        <v>759</v>
      </c>
      <c r="L103" s="176">
        <v>10</v>
      </c>
      <c r="M103" s="176">
        <v>3</v>
      </c>
      <c r="N103" s="176">
        <v>30</v>
      </c>
      <c r="O103" s="248"/>
      <c r="P103" s="171"/>
      <c r="Q103" s="175"/>
    </row>
    <row r="104" spans="1:17" s="51" customFormat="1" ht="12.75" x14ac:dyDescent="0.2">
      <c r="A104" s="192"/>
      <c r="B104" s="242"/>
      <c r="C104" s="175"/>
      <c r="D104" s="175"/>
      <c r="E104" s="175"/>
      <c r="F104" s="175"/>
      <c r="G104" s="175"/>
      <c r="H104" s="175"/>
      <c r="I104" s="150"/>
      <c r="J104" s="175"/>
      <c r="K104" s="175"/>
      <c r="L104" s="176"/>
      <c r="M104" s="176"/>
      <c r="N104" s="176"/>
      <c r="O104" s="175"/>
      <c r="P104" s="176"/>
      <c r="Q104" s="175"/>
    </row>
    <row r="105" spans="1:17" s="51" customFormat="1" ht="12.75" x14ac:dyDescent="0.2">
      <c r="A105" s="192"/>
      <c r="B105" s="242"/>
      <c r="C105" s="175"/>
      <c r="D105" s="175"/>
      <c r="E105" s="175"/>
      <c r="F105" s="175"/>
      <c r="G105" s="175"/>
      <c r="H105" s="175"/>
      <c r="I105" s="150"/>
      <c r="J105" s="175"/>
      <c r="K105" s="175"/>
      <c r="L105" s="176"/>
      <c r="M105" s="176"/>
      <c r="N105" s="176"/>
      <c r="O105" s="175"/>
      <c r="P105" s="176"/>
      <c r="Q105" s="175"/>
    </row>
    <row r="106" spans="1:17" s="51" customFormat="1" ht="12.75" x14ac:dyDescent="0.2">
      <c r="A106" s="192"/>
      <c r="B106" s="242"/>
      <c r="C106" s="175"/>
      <c r="D106" s="175"/>
      <c r="E106" s="175"/>
      <c r="F106" s="175"/>
      <c r="G106" s="175"/>
      <c r="H106" s="175"/>
      <c r="I106" s="150"/>
      <c r="J106" s="175"/>
      <c r="K106" s="175"/>
      <c r="L106" s="176"/>
      <c r="M106" s="176"/>
      <c r="N106" s="176"/>
      <c r="O106" s="175"/>
      <c r="P106" s="176"/>
      <c r="Q106" s="175"/>
    </row>
    <row r="107" spans="1:17" s="51" customFormat="1" ht="12.75" x14ac:dyDescent="0.2">
      <c r="A107" s="192"/>
      <c r="B107" s="242"/>
      <c r="C107" s="175"/>
      <c r="D107" s="175"/>
      <c r="E107" s="175"/>
      <c r="F107" s="175"/>
      <c r="G107" s="175"/>
      <c r="H107" s="175"/>
      <c r="I107" s="150"/>
      <c r="J107" s="175"/>
      <c r="K107" s="175"/>
      <c r="L107" s="176"/>
      <c r="M107" s="176"/>
      <c r="N107" s="176"/>
      <c r="O107" s="175"/>
      <c r="P107" s="176"/>
      <c r="Q107" s="175"/>
    </row>
    <row r="108" spans="1:17" s="51" customFormat="1" ht="12.75" x14ac:dyDescent="0.2">
      <c r="A108" s="192"/>
      <c r="B108" s="242"/>
      <c r="C108" s="175"/>
      <c r="D108" s="175"/>
      <c r="E108" s="175"/>
      <c r="F108" s="175"/>
      <c r="G108" s="175"/>
      <c r="H108" s="175"/>
      <c r="I108" s="150"/>
      <c r="J108" s="175"/>
      <c r="K108" s="175"/>
      <c r="L108" s="176"/>
      <c r="M108" s="176"/>
      <c r="N108" s="176"/>
      <c r="O108" s="175"/>
      <c r="P108" s="176"/>
      <c r="Q108" s="175"/>
    </row>
    <row r="109" spans="1:17" s="51" customFormat="1" ht="12.75" x14ac:dyDescent="0.2">
      <c r="A109" s="192"/>
      <c r="B109" s="242"/>
      <c r="C109" s="175"/>
      <c r="D109" s="175"/>
      <c r="E109" s="175"/>
      <c r="F109" s="175"/>
      <c r="G109" s="175"/>
      <c r="H109" s="175"/>
      <c r="I109" s="150"/>
      <c r="J109" s="175"/>
      <c r="K109" s="175"/>
      <c r="L109" s="176"/>
      <c r="M109" s="176"/>
      <c r="N109" s="176"/>
      <c r="O109" s="175"/>
      <c r="P109" s="176"/>
      <c r="Q109" s="175"/>
    </row>
    <row r="110" spans="1:17" s="51" customFormat="1" ht="12.75" x14ac:dyDescent="0.2">
      <c r="A110" s="192"/>
      <c r="B110" s="242"/>
      <c r="C110" s="175"/>
      <c r="D110" s="175"/>
      <c r="E110" s="175"/>
      <c r="F110" s="175"/>
      <c r="G110" s="175"/>
      <c r="H110" s="175"/>
      <c r="I110" s="150"/>
      <c r="J110" s="175"/>
      <c r="K110" s="175"/>
      <c r="L110" s="176"/>
      <c r="M110" s="176"/>
      <c r="N110" s="176" t="s">
        <v>30</v>
      </c>
      <c r="O110" s="175"/>
      <c r="P110" s="176"/>
      <c r="Q110" s="175"/>
    </row>
    <row r="111" spans="1:17" s="51" customFormat="1" ht="12.75" x14ac:dyDescent="0.2">
      <c r="A111" s="192"/>
      <c r="B111" s="242"/>
      <c r="C111" s="175"/>
      <c r="D111" s="175"/>
      <c r="E111" s="175"/>
      <c r="F111" s="175"/>
      <c r="G111" s="175"/>
      <c r="H111" s="175"/>
      <c r="I111" s="150"/>
      <c r="J111" s="175"/>
      <c r="K111" s="175"/>
      <c r="L111" s="176"/>
      <c r="M111" s="176"/>
      <c r="N111" s="176"/>
      <c r="O111" s="175"/>
      <c r="P111" s="176"/>
      <c r="Q111" s="175"/>
    </row>
    <row r="112" spans="1:17" s="51" customFormat="1" ht="12.75" x14ac:dyDescent="0.2">
      <c r="A112" s="192"/>
      <c r="B112" s="242"/>
      <c r="C112" s="175"/>
      <c r="D112" s="175"/>
      <c r="E112" s="175"/>
      <c r="F112" s="175"/>
      <c r="G112" s="175"/>
      <c r="H112" s="175"/>
      <c r="I112" s="150"/>
      <c r="J112" s="175"/>
      <c r="K112" s="175"/>
      <c r="L112" s="176"/>
      <c r="M112" s="176"/>
      <c r="N112" s="176"/>
      <c r="O112" s="175"/>
      <c r="P112" s="176"/>
      <c r="Q112" s="175"/>
    </row>
    <row r="113" spans="1:17" s="51" customFormat="1" ht="12.75" x14ac:dyDescent="0.2">
      <c r="A113" s="192"/>
      <c r="B113" s="242"/>
      <c r="C113" s="175"/>
      <c r="D113" s="175"/>
      <c r="E113" s="175"/>
      <c r="F113" s="175"/>
      <c r="G113" s="175"/>
      <c r="H113" s="175"/>
      <c r="I113" s="150"/>
      <c r="J113" s="175"/>
      <c r="K113" s="175"/>
      <c r="L113" s="176"/>
      <c r="M113" s="176"/>
      <c r="N113" s="176"/>
      <c r="O113" s="175"/>
      <c r="P113" s="176"/>
      <c r="Q113" s="175"/>
    </row>
    <row r="114" spans="1:17" s="51" customFormat="1" ht="12.75" x14ac:dyDescent="0.2">
      <c r="A114" s="192"/>
      <c r="B114" s="242"/>
      <c r="C114" s="175"/>
      <c r="D114" s="175"/>
      <c r="E114" s="175"/>
      <c r="F114" s="175"/>
      <c r="G114" s="175"/>
      <c r="H114" s="175"/>
      <c r="I114" s="150"/>
      <c r="J114" s="175"/>
      <c r="K114" s="175"/>
      <c r="L114" s="176"/>
      <c r="M114" s="176"/>
      <c r="N114" s="176"/>
      <c r="O114" s="175"/>
      <c r="P114" s="176"/>
      <c r="Q114" s="175"/>
    </row>
    <row r="115" spans="1:17" s="51" customFormat="1" ht="12.75" x14ac:dyDescent="0.2">
      <c r="A115" s="192"/>
      <c r="B115" s="242"/>
      <c r="C115" s="175"/>
      <c r="D115" s="175"/>
      <c r="E115" s="175"/>
      <c r="F115" s="175"/>
      <c r="G115" s="175"/>
      <c r="H115" s="175"/>
      <c r="I115" s="150"/>
      <c r="J115" s="175"/>
      <c r="K115" s="175"/>
      <c r="L115" s="176"/>
      <c r="M115" s="176"/>
      <c r="N115" s="176"/>
      <c r="O115" s="175"/>
      <c r="P115" s="176"/>
      <c r="Q115" s="175"/>
    </row>
    <row r="116" spans="1:17" s="51" customFormat="1" ht="12.75" x14ac:dyDescent="0.2">
      <c r="A116" s="192"/>
      <c r="B116" s="242"/>
      <c r="C116" s="175"/>
      <c r="D116" s="175"/>
      <c r="E116" s="175"/>
      <c r="F116" s="175"/>
      <c r="G116" s="175"/>
      <c r="H116" s="175"/>
      <c r="I116" s="150"/>
      <c r="J116" s="175"/>
      <c r="K116" s="175"/>
      <c r="L116" s="176"/>
      <c r="M116" s="176"/>
      <c r="N116" s="176"/>
      <c r="O116" s="175"/>
      <c r="P116" s="176"/>
      <c r="Q116" s="175"/>
    </row>
    <row r="117" spans="1:17" s="51" customFormat="1" ht="12.75" x14ac:dyDescent="0.2">
      <c r="A117" s="192"/>
      <c r="B117" s="242"/>
      <c r="C117" s="175"/>
      <c r="D117" s="175"/>
      <c r="E117" s="175"/>
      <c r="F117" s="175"/>
      <c r="G117" s="175"/>
      <c r="H117" s="175"/>
      <c r="I117" s="150"/>
      <c r="J117" s="175"/>
      <c r="K117" s="175"/>
      <c r="L117" s="176"/>
      <c r="M117" s="176"/>
      <c r="N117" s="176"/>
      <c r="O117" s="175"/>
      <c r="P117" s="176"/>
      <c r="Q117" s="175"/>
    </row>
    <row r="118" spans="1:17" s="51" customFormat="1" ht="12.75" x14ac:dyDescent="0.2">
      <c r="A118" s="192"/>
      <c r="B118" s="242"/>
      <c r="C118" s="175"/>
      <c r="D118" s="175"/>
      <c r="E118" s="175"/>
      <c r="F118" s="175"/>
      <c r="G118" s="175"/>
      <c r="H118" s="175"/>
      <c r="I118" s="150"/>
      <c r="J118" s="175"/>
      <c r="K118" s="175"/>
      <c r="L118" s="176"/>
      <c r="M118" s="176"/>
      <c r="N118" s="176"/>
      <c r="O118" s="175"/>
      <c r="P118" s="176"/>
      <c r="Q118" s="175"/>
    </row>
    <row r="119" spans="1:17" s="51" customFormat="1" ht="12.75" x14ac:dyDescent="0.2">
      <c r="A119" s="192"/>
      <c r="B119" s="242"/>
      <c r="C119" s="175"/>
      <c r="D119" s="175"/>
      <c r="E119" s="175"/>
      <c r="F119" s="175"/>
      <c r="G119" s="175"/>
      <c r="H119" s="175"/>
      <c r="I119" s="150"/>
      <c r="J119" s="175"/>
      <c r="K119" s="175"/>
      <c r="L119" s="176"/>
      <c r="M119" s="176"/>
      <c r="N119" s="176"/>
      <c r="O119" s="175"/>
      <c r="P119" s="176"/>
      <c r="Q119" s="175"/>
    </row>
    <row r="120" spans="1:17" s="51" customFormat="1" ht="12.75" x14ac:dyDescent="0.2">
      <c r="A120" s="192"/>
      <c r="B120" s="242"/>
      <c r="C120" s="175"/>
      <c r="D120" s="175"/>
      <c r="E120" s="175"/>
      <c r="F120" s="175"/>
      <c r="G120" s="175"/>
      <c r="H120" s="175"/>
      <c r="I120" s="150"/>
      <c r="J120" s="175"/>
      <c r="K120" s="175"/>
      <c r="L120" s="176"/>
      <c r="M120" s="176"/>
      <c r="N120" s="176"/>
      <c r="O120" s="175"/>
      <c r="P120" s="176"/>
      <c r="Q120" s="175"/>
    </row>
    <row r="121" spans="1:17" s="51" customFormat="1" ht="12.75" x14ac:dyDescent="0.2">
      <c r="A121" s="192"/>
      <c r="B121" s="242"/>
      <c r="C121" s="175"/>
      <c r="D121" s="175"/>
      <c r="E121" s="175"/>
      <c r="F121" s="175"/>
      <c r="G121" s="175"/>
      <c r="H121" s="175"/>
      <c r="I121" s="150"/>
      <c r="J121" s="175"/>
      <c r="K121" s="175"/>
      <c r="L121" s="176"/>
      <c r="M121" s="176"/>
      <c r="N121" s="176"/>
      <c r="O121" s="175"/>
      <c r="P121" s="176"/>
      <c r="Q121" s="175"/>
    </row>
    <row r="122" spans="1:17" s="51" customFormat="1" ht="12.75" x14ac:dyDescent="0.2">
      <c r="A122" s="192"/>
      <c r="B122" s="242"/>
      <c r="C122" s="175"/>
      <c r="D122" s="175"/>
      <c r="E122" s="175"/>
      <c r="F122" s="175"/>
      <c r="G122" s="175"/>
      <c r="H122" s="175"/>
      <c r="I122" s="150"/>
      <c r="J122" s="175"/>
      <c r="K122" s="175"/>
      <c r="L122" s="176"/>
      <c r="M122" s="176"/>
      <c r="N122" s="176"/>
      <c r="O122" s="175"/>
      <c r="P122" s="176"/>
      <c r="Q122" s="175"/>
    </row>
    <row r="141" spans="1:30" s="16" customFormat="1" x14ac:dyDescent="0.2">
      <c r="A141" s="192"/>
      <c r="B141" s="243"/>
      <c r="C141" s="153"/>
      <c r="D141" s="153"/>
      <c r="E141" s="153"/>
      <c r="F141" s="153"/>
      <c r="G141" s="153"/>
      <c r="H141" s="153"/>
      <c r="I141" s="158"/>
      <c r="J141" s="153"/>
      <c r="K141" s="153"/>
      <c r="L141" s="159"/>
      <c r="M141" s="159"/>
      <c r="N141" s="159"/>
      <c r="O141" s="153"/>
      <c r="P141" s="159"/>
      <c r="Q141" s="153"/>
      <c r="W141" s="17"/>
      <c r="X141" s="17"/>
      <c r="Y141" s="17"/>
      <c r="Z141" s="17"/>
      <c r="AA141" s="17"/>
      <c r="AB141" s="17"/>
      <c r="AC141" s="17"/>
      <c r="AD141" s="17"/>
    </row>
    <row r="143" spans="1:30" x14ac:dyDescent="0.2">
      <c r="E143" s="160"/>
    </row>
    <row r="144" spans="1:30" x14ac:dyDescent="0.2">
      <c r="E144" s="160"/>
    </row>
    <row r="145" spans="5:14" x14ac:dyDescent="0.2">
      <c r="E145" s="160"/>
    </row>
    <row r="146" spans="5:14" x14ac:dyDescent="0.2">
      <c r="E146" s="160"/>
    </row>
    <row r="147" spans="5:14" x14ac:dyDescent="0.2">
      <c r="E147" s="160"/>
    </row>
    <row r="150" spans="5:14" x14ac:dyDescent="0.2">
      <c r="M150" s="153"/>
      <c r="N150" s="153"/>
    </row>
    <row r="151" spans="5:14" x14ac:dyDescent="0.2">
      <c r="L151" s="153"/>
      <c r="M151" s="153"/>
      <c r="N151" s="153"/>
    </row>
    <row r="152" spans="5:14" x14ac:dyDescent="0.2">
      <c r="N152" s="153"/>
    </row>
    <row r="153" spans="5:14" x14ac:dyDescent="0.2">
      <c r="N153" s="153"/>
    </row>
    <row r="154" spans="5:14" x14ac:dyDescent="0.2">
      <c r="N154" s="153"/>
    </row>
    <row r="155" spans="5:14" x14ac:dyDescent="0.2">
      <c r="N155" s="153"/>
    </row>
    <row r="156" spans="5:14" x14ac:dyDescent="0.2">
      <c r="N156" s="153"/>
    </row>
    <row r="157" spans="5:14" x14ac:dyDescent="0.2">
      <c r="N157" s="153"/>
    </row>
    <row r="158" spans="5:14" x14ac:dyDescent="0.2">
      <c r="N158" s="153"/>
    </row>
    <row r="159" spans="5:14" x14ac:dyDescent="0.2">
      <c r="N159" s="153"/>
    </row>
    <row r="160" spans="5:14" x14ac:dyDescent="0.2">
      <c r="N160" s="153"/>
    </row>
    <row r="161" spans="14:14" x14ac:dyDescent="0.2">
      <c r="N161" s="153"/>
    </row>
    <row r="162" spans="14:14" x14ac:dyDescent="0.2">
      <c r="N162" s="153"/>
    </row>
    <row r="163" spans="14:14" x14ac:dyDescent="0.2">
      <c r="N163" s="153"/>
    </row>
    <row r="164" spans="14:14" x14ac:dyDescent="0.2">
      <c r="N164" s="153"/>
    </row>
    <row r="190" spans="1:36" s="52" customFormat="1" x14ac:dyDescent="0.2">
      <c r="A190" s="193"/>
      <c r="B190" s="244"/>
      <c r="C190" s="154"/>
      <c r="D190" s="154"/>
      <c r="E190" s="154"/>
      <c r="F190" s="154"/>
      <c r="G190" s="154"/>
      <c r="H190" s="154"/>
      <c r="I190" s="161"/>
      <c r="J190" s="154"/>
      <c r="K190" s="154"/>
      <c r="L190" s="162"/>
      <c r="M190" s="162"/>
      <c r="N190" s="162"/>
      <c r="O190" s="154"/>
      <c r="P190" s="162"/>
      <c r="Q190" s="154"/>
      <c r="W190" s="137"/>
      <c r="X190" s="137"/>
      <c r="Y190" s="137"/>
      <c r="Z190" s="137"/>
      <c r="AA190" s="137"/>
      <c r="AB190" s="137"/>
      <c r="AC190" s="137"/>
      <c r="AD190" s="137"/>
    </row>
    <row r="191" spans="1:36" s="52" customFormat="1" ht="18" x14ac:dyDescent="0.2">
      <c r="A191" s="193"/>
      <c r="B191" s="244"/>
      <c r="C191" s="154"/>
      <c r="D191" s="154"/>
      <c r="E191" s="154"/>
      <c r="F191" s="154"/>
      <c r="G191" s="154"/>
      <c r="H191" s="154"/>
      <c r="I191" s="161"/>
      <c r="J191" s="154"/>
      <c r="K191" s="154"/>
      <c r="L191" s="162"/>
      <c r="M191" s="162"/>
      <c r="N191" s="162"/>
      <c r="O191" s="154"/>
      <c r="P191" s="162"/>
      <c r="Q191" s="154"/>
      <c r="W191" s="137"/>
      <c r="X191" s="137"/>
      <c r="Y191" s="137"/>
      <c r="Z191" s="137"/>
      <c r="AA191" s="137"/>
      <c r="AB191" s="137"/>
      <c r="AC191" s="137"/>
      <c r="AD191" s="137"/>
      <c r="AE191" s="54" t="s">
        <v>28</v>
      </c>
      <c r="AH191" s="53"/>
      <c r="AI191" s="53"/>
      <c r="AJ191" s="53"/>
    </row>
    <row r="192" spans="1:36" s="52" customFormat="1" x14ac:dyDescent="0.2">
      <c r="A192" s="193"/>
      <c r="B192" s="244"/>
      <c r="C192" s="154"/>
      <c r="D192" s="154"/>
      <c r="E192" s="154"/>
      <c r="F192" s="154"/>
      <c r="G192" s="154"/>
      <c r="H192" s="154"/>
      <c r="I192" s="161"/>
      <c r="J192" s="154"/>
      <c r="K192" s="154"/>
      <c r="L192" s="162"/>
      <c r="M192" s="162"/>
      <c r="N192" s="162"/>
      <c r="O192" s="154"/>
      <c r="P192" s="162"/>
      <c r="Q192" s="154"/>
      <c r="W192" s="137"/>
      <c r="X192" s="137"/>
      <c r="Y192" s="137"/>
      <c r="Z192" s="137"/>
      <c r="AA192" s="137"/>
      <c r="AB192" s="137"/>
      <c r="AC192" s="137"/>
      <c r="AD192" s="137"/>
      <c r="AH192" s="53"/>
      <c r="AI192" s="53"/>
      <c r="AJ192" s="53"/>
    </row>
    <row r="193" spans="1:36" s="52" customFormat="1" x14ac:dyDescent="0.25">
      <c r="A193" s="193"/>
      <c r="B193" s="244"/>
      <c r="C193" s="154"/>
      <c r="D193" s="154"/>
      <c r="E193" s="154"/>
      <c r="F193" s="154"/>
      <c r="G193" s="154"/>
      <c r="H193" s="154"/>
      <c r="I193" s="161"/>
      <c r="J193" s="154"/>
      <c r="K193" s="154"/>
      <c r="L193" s="162"/>
      <c r="M193" s="162"/>
      <c r="N193" s="162"/>
      <c r="O193" s="154"/>
      <c r="P193" s="162"/>
      <c r="Q193" s="154"/>
      <c r="W193" s="137"/>
      <c r="X193" s="137"/>
      <c r="Y193" s="137"/>
      <c r="Z193" s="137"/>
      <c r="AA193" s="137"/>
      <c r="AB193" s="137"/>
      <c r="AC193" s="137"/>
      <c r="AD193" s="137"/>
      <c r="AE193" s="55" t="s">
        <v>27</v>
      </c>
      <c r="AF193" s="55" t="s">
        <v>26</v>
      </c>
      <c r="AG193" s="55" t="s">
        <v>45</v>
      </c>
      <c r="AH193" s="55" t="s">
        <v>47</v>
      </c>
      <c r="AI193" s="56"/>
      <c r="AJ193" s="53"/>
    </row>
    <row r="194" spans="1:36" s="52" customFormat="1" x14ac:dyDescent="0.2">
      <c r="A194" s="193"/>
      <c r="B194" s="244"/>
      <c r="C194" s="154"/>
      <c r="D194" s="154"/>
      <c r="E194" s="154"/>
      <c r="F194" s="154"/>
      <c r="G194" s="154"/>
      <c r="H194" s="154"/>
      <c r="I194" s="161"/>
      <c r="J194" s="154"/>
      <c r="K194" s="154"/>
      <c r="L194" s="162"/>
      <c r="M194" s="162"/>
      <c r="N194" s="162"/>
      <c r="O194" s="154"/>
      <c r="P194" s="162"/>
      <c r="Q194" s="154"/>
      <c r="W194" s="137"/>
      <c r="X194" s="137"/>
      <c r="Y194" s="137"/>
      <c r="Z194" s="137"/>
      <c r="AA194" s="137"/>
      <c r="AB194" s="137"/>
      <c r="AC194" s="137"/>
      <c r="AD194" s="137"/>
      <c r="AE194" s="57">
        <v>1000</v>
      </c>
      <c r="AF194" s="57">
        <v>10</v>
      </c>
      <c r="AG194" s="57">
        <v>1</v>
      </c>
      <c r="AH194" s="53"/>
      <c r="AI194" s="57" t="s">
        <v>48</v>
      </c>
      <c r="AJ194" s="53"/>
    </row>
    <row r="195" spans="1:36" s="52" customFormat="1" x14ac:dyDescent="0.2">
      <c r="A195" s="193"/>
      <c r="B195" s="244"/>
      <c r="C195" s="154"/>
      <c r="D195" s="154"/>
      <c r="E195" s="154"/>
      <c r="F195" s="154"/>
      <c r="G195" s="154"/>
      <c r="H195" s="154"/>
      <c r="I195" s="161"/>
      <c r="J195" s="154"/>
      <c r="K195" s="154"/>
      <c r="L195" s="162"/>
      <c r="M195" s="162"/>
      <c r="N195" s="162"/>
      <c r="O195" s="154"/>
      <c r="P195" s="162"/>
      <c r="Q195" s="154"/>
      <c r="W195" s="137"/>
      <c r="X195" s="137"/>
      <c r="Y195" s="137"/>
      <c r="Z195" s="137"/>
      <c r="AA195" s="137"/>
      <c r="AB195" s="137"/>
      <c r="AC195" s="137"/>
      <c r="AD195" s="137"/>
      <c r="AE195" s="57">
        <v>300</v>
      </c>
      <c r="AF195" s="57">
        <v>3</v>
      </c>
      <c r="AG195" s="57">
        <v>2</v>
      </c>
      <c r="AH195" s="53"/>
      <c r="AI195" s="57" t="s">
        <v>29</v>
      </c>
      <c r="AJ195" s="53"/>
    </row>
    <row r="196" spans="1:36" s="52" customFormat="1" x14ac:dyDescent="0.2">
      <c r="A196" s="193"/>
      <c r="B196" s="244"/>
      <c r="C196" s="154"/>
      <c r="D196" s="154"/>
      <c r="E196" s="154"/>
      <c r="F196" s="154"/>
      <c r="G196" s="154"/>
      <c r="H196" s="154"/>
      <c r="I196" s="161"/>
      <c r="J196" s="154"/>
      <c r="K196" s="154"/>
      <c r="L196" s="162"/>
      <c r="M196" s="162"/>
      <c r="N196" s="162"/>
      <c r="O196" s="154"/>
      <c r="P196" s="162"/>
      <c r="Q196" s="154"/>
      <c r="W196" s="137"/>
      <c r="X196" s="137"/>
      <c r="Y196" s="137"/>
      <c r="Z196" s="137"/>
      <c r="AA196" s="137"/>
      <c r="AB196" s="137"/>
      <c r="AC196" s="137"/>
      <c r="AD196" s="137"/>
      <c r="AE196" s="57">
        <v>100</v>
      </c>
      <c r="AF196" s="57">
        <v>1</v>
      </c>
      <c r="AG196" s="57">
        <v>3</v>
      </c>
      <c r="AH196" s="53"/>
      <c r="AI196" s="57"/>
      <c r="AJ196" s="53"/>
    </row>
    <row r="197" spans="1:36" s="52" customFormat="1" x14ac:dyDescent="0.2">
      <c r="A197" s="193"/>
      <c r="B197" s="244"/>
      <c r="C197" s="154"/>
      <c r="D197" s="154"/>
      <c r="E197" s="154"/>
      <c r="F197" s="154"/>
      <c r="G197" s="154"/>
      <c r="H197" s="154"/>
      <c r="I197" s="161"/>
      <c r="J197" s="154"/>
      <c r="K197" s="154"/>
      <c r="L197" s="162"/>
      <c r="M197" s="162"/>
      <c r="N197" s="162"/>
      <c r="O197" s="154"/>
      <c r="P197" s="162"/>
      <c r="Q197" s="154"/>
      <c r="W197" s="137"/>
      <c r="X197" s="137"/>
      <c r="Y197" s="137"/>
      <c r="Z197" s="137"/>
      <c r="AA197" s="137"/>
      <c r="AB197" s="137"/>
      <c r="AC197" s="137"/>
      <c r="AD197" s="137"/>
      <c r="AE197" s="57">
        <v>30</v>
      </c>
      <c r="AF197" s="57">
        <v>0.3</v>
      </c>
      <c r="AG197" s="57">
        <v>4</v>
      </c>
      <c r="AH197" s="53"/>
      <c r="AI197" s="56"/>
      <c r="AJ197" s="56"/>
    </row>
    <row r="198" spans="1:36" s="52" customFormat="1" x14ac:dyDescent="0.2">
      <c r="A198" s="193"/>
      <c r="B198" s="244"/>
      <c r="C198" s="154"/>
      <c r="D198" s="154"/>
      <c r="E198" s="154"/>
      <c r="F198" s="154"/>
      <c r="G198" s="154"/>
      <c r="H198" s="154"/>
      <c r="I198" s="161"/>
      <c r="J198" s="154"/>
      <c r="K198" s="154"/>
      <c r="L198" s="162"/>
      <c r="M198" s="162"/>
      <c r="N198" s="162"/>
      <c r="O198" s="154"/>
      <c r="P198" s="162"/>
      <c r="Q198" s="154"/>
      <c r="W198" s="137"/>
      <c r="X198" s="137"/>
      <c r="Y198" s="137"/>
      <c r="Z198" s="137"/>
      <c r="AA198" s="137"/>
      <c r="AB198" s="137"/>
      <c r="AC198" s="137"/>
      <c r="AD198" s="137"/>
      <c r="AE198" s="57">
        <v>10</v>
      </c>
      <c r="AF198" s="57">
        <v>0.1</v>
      </c>
      <c r="AG198" s="57">
        <v>5</v>
      </c>
      <c r="AH198" s="53"/>
      <c r="AI198" s="56"/>
      <c r="AJ198" s="56"/>
    </row>
    <row r="199" spans="1:36" s="52" customFormat="1" x14ac:dyDescent="0.2">
      <c r="A199" s="193"/>
      <c r="B199" s="244"/>
      <c r="C199" s="154"/>
      <c r="D199" s="154"/>
      <c r="E199" s="154"/>
      <c r="F199" s="154"/>
      <c r="G199" s="154"/>
      <c r="H199" s="154"/>
      <c r="I199" s="161"/>
      <c r="J199" s="154"/>
      <c r="K199" s="154"/>
      <c r="L199" s="162"/>
      <c r="M199" s="162"/>
      <c r="N199" s="162"/>
      <c r="O199" s="154"/>
      <c r="P199" s="162"/>
      <c r="Q199" s="154"/>
      <c r="W199" s="137"/>
      <c r="X199" s="137"/>
      <c r="Y199" s="137"/>
      <c r="Z199" s="137"/>
      <c r="AA199" s="137"/>
      <c r="AB199" s="137"/>
      <c r="AC199" s="137"/>
      <c r="AD199" s="137"/>
      <c r="AE199" s="58">
        <v>3</v>
      </c>
      <c r="AF199" s="58">
        <v>0.03</v>
      </c>
      <c r="AG199" s="58">
        <v>6</v>
      </c>
      <c r="AH199" s="53"/>
      <c r="AI199" s="56"/>
      <c r="AJ199" s="56"/>
    </row>
    <row r="200" spans="1:36" s="52" customFormat="1" x14ac:dyDescent="0.2">
      <c r="A200" s="193"/>
      <c r="B200" s="244"/>
      <c r="C200" s="154"/>
      <c r="D200" s="154"/>
      <c r="E200" s="154"/>
      <c r="F200" s="154"/>
      <c r="G200" s="154"/>
      <c r="H200" s="154"/>
      <c r="I200" s="161"/>
      <c r="J200" s="154"/>
      <c r="K200" s="154"/>
      <c r="L200" s="162"/>
      <c r="M200" s="162"/>
      <c r="N200" s="162"/>
      <c r="O200" s="154"/>
      <c r="P200" s="162"/>
      <c r="Q200" s="154"/>
      <c r="W200" s="137"/>
      <c r="X200" s="137"/>
      <c r="Y200" s="137"/>
      <c r="Z200" s="137"/>
      <c r="AA200" s="137"/>
      <c r="AB200" s="137"/>
      <c r="AC200" s="137"/>
      <c r="AD200" s="137"/>
      <c r="AE200" s="57">
        <v>1</v>
      </c>
      <c r="AF200" s="57"/>
      <c r="AG200" s="57">
        <v>7</v>
      </c>
      <c r="AH200" s="53"/>
      <c r="AI200" s="56"/>
      <c r="AJ200" s="56"/>
    </row>
    <row r="201" spans="1:36" s="52" customFormat="1" x14ac:dyDescent="0.2">
      <c r="A201" s="193"/>
      <c r="B201" s="244"/>
      <c r="C201" s="154"/>
      <c r="D201" s="154"/>
      <c r="E201" s="154"/>
      <c r="F201" s="154"/>
      <c r="G201" s="154"/>
      <c r="H201" s="154"/>
      <c r="I201" s="161"/>
      <c r="J201" s="154"/>
      <c r="K201" s="154"/>
      <c r="L201" s="162"/>
      <c r="M201" s="162"/>
      <c r="N201" s="162"/>
      <c r="O201" s="154"/>
      <c r="P201" s="162"/>
      <c r="Q201" s="154"/>
      <c r="W201" s="137"/>
      <c r="X201" s="137"/>
      <c r="Y201" s="137"/>
      <c r="Z201" s="137"/>
      <c r="AA201" s="137"/>
      <c r="AB201" s="137"/>
      <c r="AC201" s="137"/>
      <c r="AD201" s="137"/>
      <c r="AE201" s="57"/>
      <c r="AF201" s="59"/>
      <c r="AG201" s="57"/>
      <c r="AH201" s="53"/>
      <c r="AI201" s="56"/>
      <c r="AJ201" s="56"/>
    </row>
    <row r="202" spans="1:36" s="52" customFormat="1" x14ac:dyDescent="0.2">
      <c r="A202" s="193"/>
      <c r="B202" s="244"/>
      <c r="C202" s="154"/>
      <c r="D202" s="154"/>
      <c r="E202" s="154"/>
      <c r="F202" s="154"/>
      <c r="G202" s="154"/>
      <c r="H202" s="154"/>
      <c r="I202" s="161"/>
      <c r="J202" s="154"/>
      <c r="K202" s="154"/>
      <c r="L202" s="162"/>
      <c r="M202" s="162"/>
      <c r="N202" s="162"/>
      <c r="O202" s="154"/>
      <c r="P202" s="162"/>
      <c r="Q202" s="154"/>
      <c r="W202" s="137"/>
      <c r="X202" s="137"/>
      <c r="Y202" s="137"/>
      <c r="Z202" s="137"/>
      <c r="AA202" s="137"/>
      <c r="AB202" s="137"/>
      <c r="AC202" s="137"/>
      <c r="AD202" s="137"/>
      <c r="AH202" s="53"/>
      <c r="AI202" s="53"/>
      <c r="AJ202" s="53"/>
    </row>
    <row r="203" spans="1:36" x14ac:dyDescent="0.2">
      <c r="A203" s="193"/>
      <c r="B203" s="244"/>
      <c r="C203" s="154"/>
      <c r="D203" s="154"/>
      <c r="E203" s="154"/>
      <c r="F203" s="154"/>
      <c r="G203" s="154"/>
      <c r="H203" s="154"/>
      <c r="I203" s="161"/>
      <c r="J203" s="154"/>
      <c r="K203" s="154"/>
      <c r="L203" s="162"/>
      <c r="M203" s="162"/>
      <c r="N203" s="162"/>
      <c r="O203" s="154"/>
    </row>
  </sheetData>
  <autoFilter ref="A2:AM103">
    <filterColumn colId="1">
      <filters>
        <filter val="Laying of Rail"/>
      </filters>
    </filterColumn>
    <filterColumn colId="2">
      <filters>
        <filter val="Rail Mounted Mobile Plant/Mobile Plant/Vehicle/Pedestrian interface"/>
      </filters>
    </filterColumn>
    <sortState ref="A4:AM103">
      <sortCondition ref="A3"/>
    </sortState>
  </autoFilter>
  <mergeCells count="1">
    <mergeCell ref="A1:Q1"/>
  </mergeCells>
  <dataValidations count="6">
    <dataValidation type="list" showInputMessage="1" showErrorMessage="1" sqref="G63:G82 G3:G61">
      <formula1>$AG$194:$AG$201</formula1>
    </dataValidation>
    <dataValidation type="list" showInputMessage="1" showErrorMessage="1" sqref="M83:M90">
      <formula1>$AF$153:$AF$159</formula1>
    </dataValidation>
    <dataValidation type="list" showInputMessage="1" showErrorMessage="1" sqref="L83:L90">
      <formula1>$AE$153:$AE$160</formula1>
    </dataValidation>
    <dataValidation type="list" showInputMessage="1" showErrorMessage="1" sqref="G83:G90">
      <formula1>$AG$153:$AG$160</formula1>
    </dataValidation>
    <dataValidation type="list" showInputMessage="1" showErrorMessage="1" sqref="L3:L82">
      <formula1>$AE$194:$AE$201</formula1>
    </dataValidation>
    <dataValidation type="list" showInputMessage="1" showErrorMessage="1" sqref="M3:M82">
      <formula1>$AF$194:$AF$200</formula1>
    </dataValidation>
  </dataValidations>
  <pageMargins left="0.70866141732283472" right="0.70866141732283472" top="0.74803149606299213" bottom="0.74803149606299213" header="0.31496062992125984" footer="0.31496062992125984"/>
  <pageSetup paperSize="8" scale="8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 Page</vt:lpstr>
      <vt:lpstr>References</vt:lpstr>
      <vt:lpstr>RISK ASSESSMENT</vt:lpstr>
      <vt:lpstr>Risk reduction action plan</vt:lpstr>
      <vt:lpstr>GLD.017 Risk matrix</vt:lpstr>
      <vt:lpstr>BowTie - Example</vt:lpstr>
      <vt:lpstr>Sheet1</vt:lpstr>
      <vt:lpstr>Sheet2</vt:lpstr>
      <vt:lpstr>'BowTie - Example'!Print_Area</vt:lpstr>
      <vt:lpstr>'RISK ASSESSMENT'!Print_Area</vt:lpstr>
      <vt:lpstr>'RISK ASSESSMENT'!Print_Titles</vt:lpstr>
    </vt:vector>
  </TitlesOfParts>
  <Company>BHPBIO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WAIO Formal Risk Assessment Form</dc:title>
  <dc:subject>WAIO Formal Risk Assessment Form</dc:subject>
  <dc:creator>Richard Kern</dc:creator>
  <cp:keywords>WAIO Formal Risk Assessment Form</cp:keywords>
  <cp:lastModifiedBy>Paul Reade</cp:lastModifiedBy>
  <cp:lastPrinted>2014-11-19T04:24:42Z</cp:lastPrinted>
  <dcterms:created xsi:type="dcterms:W3CDTF">2002-08-19T07:01:01Z</dcterms:created>
  <dcterms:modified xsi:type="dcterms:W3CDTF">2015-03-04T08:47:17Z</dcterms:modified>
</cp:coreProperties>
</file>