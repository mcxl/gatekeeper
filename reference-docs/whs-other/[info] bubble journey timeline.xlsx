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jpg" ContentType="image/jpeg"/>
  <Default Extension="jpeg" ContentType="image/jpeg"/>
  <Default Extension="tiff" ContentType="image/tiff"/>
  <Default Extension="gif" ContentType="image/gif"/>
  <Default Extension="wmf" ContentType="image/x-wmf"/>
  <Default Extension="emf" ContentType="image/x-emf"/>
  <Override PartName="/xl/charts/colors1.xml" ContentType="application/vnd.ms-office.chartcolorstyle+xml"/>
  <Override PartName="/xl/charts/style1.xml" ContentType="application/vnd.ms-office.chartstyle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AlanRichardson/Google Drive/IIIIM/@ cb.co - shared/[quoting]/"/>
    </mc:Choice>
  </mc:AlternateContent>
  <xr:revisionPtr revIDLastSave="0" documentId="12_ncr:500000_{C05DC56E-EF72-1449-BDB6-8B053D4DD5D7}" xr6:coauthVersionLast="31" xr6:coauthVersionMax="31" xr10:uidLastSave="{00000000-0000-0000-0000-000000000000}"/>
  <bookViews>
    <workbookView activeTab="0" windowHeight="16620" windowWidth="23160" xWindow="1660" xr2:uid="{00000000-000D-0000-FFFF-FFFF00000000}" yWindow="720"/>
  </bookViews>
  <sheets>
    <sheet name="Horizontal" sheetId="10" r:id="rId1"/>
    <sheet name="©" sheetId="9" r:id="rId2"/>
  </sheets>
  <definedNames>
    <definedName name="valuevx">42.314159</definedName>
    <definedName name="vertex42_copyright" hidden="1">"© 2017 Vertex42 LLC"</definedName>
    <definedName name="vertex42_id" hidden="1">"bubble-chart-timeline.xlsx"</definedName>
    <definedName name="vertex42_title" hidden="1">"Bubble Chart Timeline Template"</definedName>
  </definedNames>
  <calcPr calcId="162913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<sst xmlns="http://schemas.openxmlformats.org/spreadsheetml/2006/main" count="40" uniqueCount="35">
  <si>
    <t>Bubble Chart Timeline Template</t>
  </si>
  <si>
    <t>Step 1: Define the Axis Labels</t>
  </si>
  <si>
    <t>© 2017 Vertex42 LLC</t>
  </si>
  <si>
    <t>X Value</t>
  </si>
  <si>
    <t>Y Position</t>
  </si>
  <si>
    <t>Size</t>
  </si>
  <si>
    <t>Label</t>
  </si>
  <si>
    <t>Bubble Chart Timeline</t>
  </si>
  <si>
    <t>Scroll down to edit the events table.</t>
  </si>
  <si>
    <t>The split screen allows you to see the</t>
  </si>
  <si>
    <t>chart as you edit the events table.</t>
  </si>
  <si>
    <t>To print the timeline, select the chart</t>
  </si>
  <si>
    <t>◄ Insert new rows above this one, then extend the table down</t>
  </si>
  <si>
    <t>and press CTRL+P</t>
  </si>
  <si>
    <t>Step 2: Define the Timeline Events</t>
  </si>
  <si>
    <t>YEAR</t>
  </si>
  <si>
    <t>SIZE</t>
  </si>
  <si>
    <t>LABEL</t>
  </si>
  <si>
    <t>To edit Data Label options: Right-click &gt; Format Data Labels</t>
  </si>
  <si>
    <t>The Axis is a Bubble Chart series with labels that you can define</t>
  </si>
  <si>
    <t>Axis labels do not necessarily need to be equally spaced</t>
  </si>
  <si>
    <t>Event leader lines are Y Error Bars</t>
  </si>
  <si>
    <t>The Axis bubble size can be changed</t>
  </si>
  <si>
    <t>The bubble size is determined by the value in the table</t>
  </si>
  <si>
    <t>Axis labels can be formatted individually</t>
  </si>
  <si>
    <t>Event labels and markers can be formatted individually</t>
  </si>
  <si>
    <t>The Y value for this marker is =YEAR(TODAY())</t>
  </si>
  <si>
    <t>By Vertex42.com</t>
  </si>
  <si>
    <t>https://www.vertex42.com/ExcelTemplates/bubble-chart-timeline.html</t>
  </si>
  <si>
    <t>This spreadsheet, including all worksheets and associated content is a copyrighted work under the United States and other copyright laws.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</si>
  <si>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</si>
  <si>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</si>
  <si>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https://www.vertex42.com/licensing/EULA_privateuse.html</t>
  </si>
  <si>
    <t>Do not delete this worksheet</t>
  </si>
  <si>
    <t>Hi there</t>
  </si>
  <si>
    <t>© 2017 Vertex42 LLC</t>
  </si>
  <si>
    <t>bubble-chart-timeline.xlsx</t>
  </si>
  <si>
    <t>Bubble Chart Timeline Template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</si>
</sst>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mc:Ignorable="x14ac x16r2 xr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7"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/>
      <color rgb="FF000000"/>
      <sz val="16"/>
      <scheme val="minor"/>
    </font>
    <font>
      <name val="Calibri"/>
      <family val="2"/>
      <b/>
      <color rgb="FF000000"/>
      <sz val="12"/>
      <scheme val="minor"/>
    </font>
    <font>
      <name val="Calibri"/>
      <family val="2"/>
      <color rgb="FF3A5D9C"/>
      <sz val="11"/>
      <scheme val="minor"/>
    </font>
    <font>
      <name val="Calibri"/>
      <family val="2"/>
      <color rgb="FF2B4575"/>
      <sz val="11"/>
      <scheme val="minor"/>
    </font>
    <font>
      <name val="Arial"/>
      <family val="2"/>
      <color rgb="FF3A5D9C"/>
      <sz val="18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b/>
      <color rgb="FF000000"/>
      <sz val="12"/>
    </font>
    <font>
      <name val="Arial"/>
      <family val="2"/>
      <color rgb="FF0000FF"/>
      <sz val="12"/>
      <u val="single"/>
    </font>
    <font>
      <name val="Arial"/>
      <family val="2"/>
      <b/>
      <color rgb="FF000000"/>
      <sz val="12"/>
    </font>
    <font>
      <name val="Calibri"/>
      <family val="2"/>
      <color rgb="FF0000FF"/>
      <sz val="11"/>
      <u val="single"/>
      <scheme val="minor"/>
    </font>
    <font>
      <name val="Arial"/>
      <family val="2"/>
      <color rgb="FF0000FF"/>
      <sz val="11"/>
      <u val="single"/>
    </font>
    <font>
      <name val="Arial"/>
      <family val="2"/>
      <color rgb="FF7F7F7F"/>
      <sz val="10"/>
    </font>
    <font>
      <name val="Arial"/>
      <family val="2"/>
      <color rgb="FF0000FF"/>
      <sz val="10"/>
      <u val="single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A5D9C"/>
      </bottom>
      <diagonal style="none">
        <color rgb="FF000000"/>
      </diagon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 style="none">
        <color rgb="FF000000"/>
      </diagonal>
    </border>
    <border>
      <left style="thin">
        <color rgb="FFFFFFFF"/>
      </left>
      <right style="thin">
        <color rgb="FFFFFFFF"/>
      </right>
      <top style="none">
        <color rgb="FF000000"/>
      </top>
      <bottom style="thin">
        <color rgb="FFFFFFFF"/>
      </bottom>
      <diagonal style="none">
        <color rgb="FF000000"/>
      </diagonal>
    </border>
  </borders>
  <cellStyleXfs count="3">
    <xf numFmtId="0" fontId="0" fillId="0" borderId="0" xfId="0"/>
    <xf numFmtId="9" fontId="1" fillId="0" borderId="0" xfId="0" applyNumberFormat="1" applyFont="1"/>
    <xf numFmtId="0" fontId="13" fillId="0" borderId="0" xfId="0" applyFont="1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9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9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9" fontId="0" fillId="0" borderId="0" xfId="0" applyNumberFormat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left" vertical="center"/>
    </xf>
    <xf numFmtId="0" fontId="7" fillId="0" borderId="2" xfId="0" applyFont="1" applyBorder="1"/>
    <xf numFmtId="0" fontId="8" fillId="0" borderId="3" xfId="0" applyFont="1" applyBorder="1" applyAlignment="1">
      <alignment horizontal="left" wrapText="1" indent="1"/>
    </xf>
    <xf numFmtId="0" fontId="0" fillId="0" borderId="2" xfId="0" applyBorder="1"/>
    <xf numFmtId="0" fontId="9" fillId="0" borderId="2" xfId="0" applyFont="1" applyBorder="1"/>
    <xf numFmtId="0" fontId="8" fillId="0" borderId="2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11" fillId="0" borderId="2" xfId="0" applyFont="1" applyBorder="1" applyAlignment="1">
      <alignment horizontal="left" wrapText="1"/>
    </xf>
    <xf numFmtId="0" fontId="8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wrapText="1"/>
    </xf>
    <xf numFmtId="0" fontId="7" fillId="0" borderId="0" xfId="0" applyFont="1"/>
    <xf numFmtId="0" fontId="14" fillId="0" borderId="2" xfId="0" applyFont="1" applyBorder="1" applyAlignment="1">
      <alignment horizontal="left" wrapText="1"/>
    </xf>
    <xf numFmtId="0" fontId="15" fillId="0" borderId="0" xfId="0" applyFont="1" applyAlignment="1">
      <alignment vertical="center"/>
    </xf>
    <xf numFmtId="0" fontId="16" fillId="0" borderId="0" xfId="0" applyFont="1"/>
    <xf numFmtId="9" fontId="0" fillId="2" borderId="0" xfId="0" applyNumberFormat="1" applyFill="1" applyAlignment="1">
      <alignment horizontal="center"/>
    </xf>
    <xf numFmtId="9" fontId="0" fillId="0" borderId="0" xfId="0" applyNumberFormat="1"/>
    <xf numFmtId="0" fontId="0" fillId="0" borderId="0" xfId="0"/>
    <xf numFmtId="17" fontId="0" fillId="0" borderId="0" xfId="0" applyNumberFormat="1" applyAlignment="1">
      <alignment horizontal="center"/>
    </xf>
  </cellXfs>
  <cellStyles count="3">
    <cellStyle name="Hyperlink" xfId="2" builtinId="8" customBuiltin="1"/>
    <cellStyle name="Normal" xfId="0" builtinId="0" customBuiltin="1"/>
    <cellStyle name="Percent" xfId="1" builtinId="5"/>
  </cellStyles>
  <dxfs count="11"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 tint="-4.9989318521683403E-2"/>
        </patternFill>
      </fill>
      <alignment horizont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numFmt numFmtId="13" formatCode="0%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2" Type="http://schemas.openxmlformats.org/officeDocument/2006/relationships/worksheet" Target="worksheets/sheet2.xml" TargetMode="Internal"/><Relationship Id="rId3" Type="http://schemas.openxmlformats.org/officeDocument/2006/relationships/theme" Target="theme/theme1.xml" TargetMode="Internal"/><Relationship Id="rId4" Type="http://schemas.openxmlformats.org/officeDocument/2006/relationships/styles" Target="styles.xml" TargetMode="Internal"/><Relationship Id="rId5" Type="http://schemas.openxmlformats.org/officeDocument/2006/relationships/sharedStrings" Target="sharedStrings.xml" TargetMode="Internal"/><Relationship Id="rId6" Type="http://schemas.openxmlformats.org/officeDocument/2006/relationships/calcChain" Target="calcChain.xml" TargetMode="Interna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24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>
                <a:solidFill>
                  <a:schemeClr val="accent1">
                    <a:lumMod val="75000"/>
                  </a:schemeClr>
                </a:solidFill>
              </a:rPr>
              <a:t>Bubble Chart Timeline</a:t>
            </a:r>
          </a:p>
        </c:rich>
      </c:tx>
      <c:layout>
        <c:manualLayout>
          <c:xMode val="edge"/>
          <c:yMode val="edge"/>
          <c:x val="1.28238798810585E-2"/>
          <c:y val="1.84152297418519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2400" b="0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2">
                <a:lumMod val="20000"/>
                <a:lumOff val="80000"/>
              </a:schemeClr>
            </a:solidFill>
            <a:ln w="38100">
              <a:solidFill>
                <a:schemeClr val="accent2"/>
              </a:soli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33DFA65-B103-8F4F-A454-0D92EDF9E6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8FD-0047-AB56-3F6744BD4B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482B69B-D7AB-B54D-88BD-F6D9BC5048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8FD-0047-AB56-3F6744BD4B9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A989A45-3DCB-CA4F-AFF7-86FD626330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8FD-0047-AB56-3F6744BD4B9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5F1EFC3-56FA-0846-AD39-DC5AA5FB47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8FD-0047-AB56-3F6744BD4B9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42E685A-7CF5-1B4D-89ED-C302E43583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8FD-0047-AB56-3F6744BD4B9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C6FD064-3082-1C46-B1E8-0468A167BA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8FD-0047-AB56-3F6744BD4B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Horizontal!$A$5:$A$10</c:f>
              <c:numCache>
                <c:formatCode>General</c:formatCod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numCache>
            </c:numRef>
          </c:xVal>
          <c:yVal>
            <c:numRef>
              <c:f>Horizontal!$B$5:$B$10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bubbleSize>
            <c:numRef>
              <c:f>Horizontal!$C$5:$C$10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Horizontal!$D$5:$D$10</c15:f>
                <c15:dlblRangeCache>
                  <c:ptCount val="6"/>
                  <c:pt idx="0">
                    <c:v>Jun-18</c:v>
                  </c:pt>
                  <c:pt idx="1">
                    <c:v>1980</c:v>
                  </c:pt>
                  <c:pt idx="2">
                    <c:v>1990</c:v>
                  </c:pt>
                  <c:pt idx="3">
                    <c:v>2000</c:v>
                  </c:pt>
                  <c:pt idx="4">
                    <c:v>2010</c:v>
                  </c:pt>
                  <c:pt idx="5">
                    <c:v>2020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731-490A-BDCC-6B561F2A62E1}"/>
            </c:ext>
          </c:extLst>
        </c:ser>
        <c:ser>
          <c:idx val="1"/>
          <c:order val="1"/>
          <c:tx>
            <c:v>Events</c:v>
          </c:tx>
          <c:spPr>
            <a:solidFill>
              <a:schemeClr val="accent6">
                <a:lumMod val="20000"/>
                <a:lumOff val="80000"/>
              </a:schemeClr>
            </a:solidFill>
            <a:ln w="31750"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31750"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8FD-0047-AB56-3F6744BD4B9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A41F3A3-FF75-D34A-95A0-B42DF15DDD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8FD-0047-AB56-3F6744BD4B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97FC89F-0E85-F349-B921-602333B11B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8FD-0047-AB56-3F6744BD4B9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5070588-2702-1545-8520-21BF82387D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8FD-0047-AB56-3F6744BD4B9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C29CDDD-21EA-0944-B57C-6D1F9DE273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8FD-0047-AB56-3F6744BD4B9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19288A3-3BFB-1443-B645-C8E7C8C150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8FD-0047-AB56-3F6744BD4B9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3E18C2F-4497-E448-A60A-33B0AA45E6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8FD-0047-AB56-3F6744BD4B9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11E9D1F-3935-4F41-9F02-0C2D2F10FE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8FD-0047-AB56-3F6744BD4B9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8CE82C4-3E52-914F-8EED-9A74DC0E72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8FD-0047-AB56-3F6744BD4B9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2B75F80-EB38-B944-8B16-A1EEC0751A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731-490A-BDCC-6B561F2A62E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84EBA36-2DC7-A544-A0BF-307617E6F7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8FD-0047-AB56-3F6744BD4B94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25400" cap="flat" cmpd="sng" algn="ctr">
                <a:solidFill>
                  <a:schemeClr val="accent1">
                    <a:lumMod val="40000"/>
                    <a:lumOff val="60000"/>
                  </a:schemeClr>
                </a:solidFill>
                <a:round/>
              </a:ln>
              <a:effectLst/>
            </c:spPr>
          </c:errBars>
          <c:xVal>
            <c:numRef>
              <c:f>Horizontal!$C$14:$C$23</c:f>
              <c:numCache>
                <c:formatCode>General</c:formatCode>
                <c:ptCount val="10"/>
                <c:pt idx="0">
                  <c:v>1970</c:v>
                </c:pt>
                <c:pt idx="1">
                  <c:v>1975</c:v>
                </c:pt>
                <c:pt idx="2">
                  <c:v>1992</c:v>
                </c:pt>
                <c:pt idx="3">
                  <c:v>1985</c:v>
                </c:pt>
                <c:pt idx="4">
                  <c:v>1998</c:v>
                </c:pt>
                <c:pt idx="5">
                  <c:v>2002</c:v>
                </c:pt>
                <c:pt idx="6">
                  <c:v>2010</c:v>
                </c:pt>
                <c:pt idx="7">
                  <c:v>2014</c:v>
                </c:pt>
                <c:pt idx="8">
                  <c:v>2015</c:v>
                </c:pt>
                <c:pt idx="9">
                  <c:v>2018.2159479808352</c:v>
                </c:pt>
              </c:numCache>
            </c:numRef>
          </c:xVal>
          <c:yVal>
            <c:numRef>
              <c:f>Horizontal!$B$14:$B$23</c:f>
              <c:numCache>
                <c:formatCode>0%</c:formatCode>
                <c:ptCount val="10"/>
                <c:pt idx="0">
                  <c:v>0.25</c:v>
                </c:pt>
                <c:pt idx="1">
                  <c:v>0.65</c:v>
                </c:pt>
                <c:pt idx="2">
                  <c:v>0.5</c:v>
                </c:pt>
                <c:pt idx="3">
                  <c:v>0.2</c:v>
                </c:pt>
                <c:pt idx="4">
                  <c:v>0.2</c:v>
                </c:pt>
                <c:pt idx="5">
                  <c:v>0.7</c:v>
                </c:pt>
                <c:pt idx="6">
                  <c:v>0.4</c:v>
                </c:pt>
                <c:pt idx="7">
                  <c:v>0.75</c:v>
                </c:pt>
                <c:pt idx="8">
                  <c:v>0.87</c:v>
                </c:pt>
                <c:pt idx="9">
                  <c:v>0.2</c:v>
                </c:pt>
              </c:numCache>
            </c:numRef>
          </c:yVal>
          <c:bubbleSize>
            <c:numRef>
              <c:f>Horizontal!$D$14:$D$23</c:f>
              <c:numCache>
                <c:formatCode>0%</c:formatCode>
                <c:ptCount val="10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Horizontal!$E$14:$E$23</c15:f>
                <c15:dlblRangeCache>
                  <c:ptCount val="10"/>
                  <c:pt idx="0">
                    <c:v>To edit Data Label options: Right-click &gt; Format Data Labels</c:v>
                  </c:pt>
                  <c:pt idx="1">
                    <c:v>The Axis is a Bubble Chart series with labels that you can define</c:v>
                  </c:pt>
                  <c:pt idx="2">
                    <c:v>Axis labels do not necessarily need to be equally spaced</c:v>
                  </c:pt>
                  <c:pt idx="3">
                    <c:v>Event leader lines are Y Error Bars</c:v>
                  </c:pt>
                  <c:pt idx="4">
                    <c:v>The Axis bubble size can be changed</c:v>
                  </c:pt>
                  <c:pt idx="5">
                    <c:v>The bubble size is determined by the value in the table</c:v>
                  </c:pt>
                  <c:pt idx="6">
                    <c:v>Axis labels can be formatted individually</c:v>
                  </c:pt>
                  <c:pt idx="7">
                    <c:v>Event labels and markers can be formatted individually</c:v>
                  </c:pt>
                  <c:pt idx="8">
                    <c:v>Hi there</c:v>
                  </c:pt>
                  <c:pt idx="9">
                    <c:v>The Y value for this marker is =YEAR(TODAY())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6731-490A-BDCC-6B561F2A6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80"/>
        <c:showNegBubbles val="0"/>
        <c:sizeRepresents val="w"/>
        <c:axId val="730830624"/>
        <c:axId val="730829792"/>
      </c:bubbleChart>
      <c:valAx>
        <c:axId val="73083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38100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829792"/>
        <c:crosses val="autoZero"/>
        <c:crossBetween val="midCat"/>
      </c:valAx>
      <c:valAx>
        <c:axId val="730829792"/>
        <c:scaling>
          <c:max val="1.000000"/>
          <c:min val="-0.200000"/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3083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25" r="0.25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1562100</xdr:colOff>
      <xdr:row>1</xdr:row>
      <xdr:rowOff>84773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EF06BE-D176-47B6-8F75-4DE454C86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0"/>
          <a:ext cx="1562100" cy="351473"/>
        </a:xfrm>
        <a:prstGeom prst="rect">
          <a:avLst/>
        </a:prstGeom>
      </xdr:spPr>
    </xdr:pic>
    <xdr:clientData/>
  </xdr:twoCellAnchor>
  <xdr:twoCellAnchor>
    <xdr:from>
      <xdr:col>0</xdr:col>
      <xdr:colOff>228040</xdr:colOff>
      <xdr:row>26</xdr:row>
      <xdr:rowOff>97491</xdr:rowOff>
    </xdr:from>
    <xdr:to>
      <xdr:col>7</xdr:col>
      <xdr:colOff>123265</xdr:colOff>
      <xdr:row>53</xdr:row>
      <xdr:rowOff>135591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D098A2-95B2-4363-B633-B41FDEA77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3:E23" totalsRowShown="0" headerRowDxfId="10">
  <tableColumns count="5">
    <tableColumn id="1" xr3:uid="{00000000-0010-0000-0000-000001000000}" name="YEAR" dataDxfId="9"/>
    <tableColumn id="8" xr3:uid="{00000000-0010-0000-0000-000008000000}" name="Y Position" dataDxfId="8" dataCellStyle="Percent"/>
    <tableColumn id="6" xr3:uid="{00000000-0010-0000-0000-000006000000}" name="X Value" dataDxfId="7">
      <calculatedColumnFormula>IF(NOT(ISBLANK(Table13[[#This Row],[YEAR]])),Table13[[#This Row],[YEAR]],NA())</calculatedColumnFormula>
    </tableColumn>
    <tableColumn id="7" xr3:uid="{00000000-0010-0000-0000-000007000000}" name="SIZE" dataDxfId="6">
      <calculatedColumnFormula>30%</calculatedColumnFormula>
    </tableColumn>
    <tableColumn id="10" xr3:uid="{00000000-0010-0000-0000-00000A000000}" name="LABEL" dataDxfId="5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44" displayName="Table44" ref="A4:D10" totalsRowShown="0" headerRowDxfId="4">
  <tableColumns count="4">
    <tableColumn id="1" xr3:uid="{00000000-0010-0000-0100-000001000000}" name="X Value" dataDxfId="3"/>
    <tableColumn id="2" xr3:uid="{00000000-0010-0000-0100-000002000000}" name="Y Position" dataDxfId="2">
      <calculatedColumnFormula>0</calculatedColumnFormula>
    </tableColumn>
    <tableColumn id="3" xr3:uid="{00000000-0010-0000-0100-000003000000}" name="Size" dataDxfId="1" dataCellStyle="Percent">
      <calculatedColumnFormula>100%</calculatedColumnFormula>
    </tableColumn>
    <tableColumn id="4" xr3:uid="{00000000-0010-0000-0100-000004000000}" name="Label" dataDxfId="0">
      <calculatedColumnFormula>Table44[[#This Row],[X Value]]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ubble Chart">
      <a:dk1>
        <a:sysClr val="windowText" lastClr="000000"/>
      </a:dk1>
      <a:lt1>
        <a:sysClr val="window" lastClr="FFFFFF"/>
      </a:lt1>
      <a:dk2>
        <a:srgbClr val="2B4575"/>
      </a:dk2>
      <a:lt2>
        <a:srgbClr val="F7F2E9"/>
      </a:lt2>
      <a:accent1>
        <a:srgbClr val="3A5D9C"/>
      </a:accent1>
      <a:accent2>
        <a:srgbClr val="E68422"/>
      </a:accent2>
      <a:accent3>
        <a:srgbClr val="C04E4E"/>
      </a:accent3>
      <a:accent4>
        <a:srgbClr val="846648"/>
      </a:accent4>
      <a:accent5>
        <a:srgbClr val="7860B4"/>
      </a:accent5>
      <a:accent6>
        <a:srgbClr val="26AA26"/>
      </a:accent6>
      <a:hlink>
        <a:srgbClr val="4C92AE"/>
      </a:hlink>
      <a:folHlink>
        <a:srgbClr val="96969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vertex42.com/ExcelTemplates/bubble-chart-timeline.html" TargetMode="External"/><Relationship Id="rId2" Type="http://schemas.openxmlformats.org/officeDocument/2006/relationships/printerSettings" Target="../printerSettings/printerSettings1.bin" TargetMode="Internal"/><Relationship Id="rId3" Type="http://schemas.openxmlformats.org/officeDocument/2006/relationships/drawing" Target="../drawings/drawing1.xml" TargetMode="Internal"/><Relationship Id="rId4" Type="http://schemas.openxmlformats.org/officeDocument/2006/relationships/table" Target="../tables/table1.xml" TargetMode="Internal"/><Relationship Id="rId5" Type="http://schemas.openxmlformats.org/officeDocument/2006/relationships/table" Target="../tables/table2.xml" TargetMode="In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vertex42.com/licensing/EULA_privateuse.html" TargetMode="External"/><Relationship Id="rId2" Type="http://schemas.openxmlformats.org/officeDocument/2006/relationships/hyperlink" Target="https://www.vertex42.com/ExcelTemplates/bubble-chart-timeline.html" TargetMode="External"/><Relationship Id="rId3" Type="http://schemas.openxmlformats.org/officeDocument/2006/relationships/printerSettings" Target="../printerSettings/printerSettings2.bin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showGridLines="0" topLeftCell="A16" zoomScale="89" workbookViewId="0" tabSelected="1" zoomScaleNormal="89">
      <pane ySplit="12620" activePane="topLeft" state="split"/>
      <selection pane="topLeft" activeCell="A40" sqref="A40"/>
      <selection pane="bottomLeft"/>
    </sheetView>
  </sheetViews>
  <sheetFormatPr baseColWidth="10" defaultColWidth="8.83203125" defaultRowHeight="15"/>
  <cols>
    <col min="1" max="3" width="11" customWidth="1"/>
    <col min="4" max="4" width="10.5" customWidth="1"/>
    <col min="5" max="5" width="64.33203125" customWidth="1"/>
    <col min="6" max="6" width="6.5" customWidth="1"/>
    <col min="7" max="7" width="24.83203125" customWidth="1"/>
    <col min="8" max="11" width="12.5" customWidth="1"/>
  </cols>
  <sheetData>
    <row ht="21" r="1" spans="1:7" x14ac:dyDescent="0.25">
      <c r="A1" s="10" t="s">
        <v>0</v>
      </c>
    </row>
    <row ht="16" r="3" spans="1:7" x14ac:dyDescent="0.2">
      <c r="A3" s="11" t="s">
        <v>1</v>
      </c>
      <c r="G3" s="27" t="s">
        <v>2</v>
      </c>
    </row>
    <row ht="21" customHeight="1" r="4" spans="1:7" x14ac:dyDescent="0.2">
      <c r="A4" s="7" t="s">
        <v>3</v>
      </c>
      <c r="B4" s="7" t="s">
        <v>4</v>
      </c>
      <c r="C4" s="7" t="s">
        <v>5</v>
      </c>
      <c r="D4" s="7" t="s">
        <v>6</v>
      </c>
      <c r="E4" s="14"/>
      <c r="G4" s="28" t="s">
        <v>7</v>
      </c>
    </row>
    <row r="5" spans="1:7" x14ac:dyDescent="0.2">
      <c r="A5" s="1">
        <v>1970</v>
      </c>
      <c r="B5" s="4">
        <f>0</f>
        <v>0</v>
      </c>
      <c r="C5" s="8">
        <f>100%</f>
        <v>1</v>
      </c>
      <c r="D5" s="32">
        <v>43252</v>
      </c>
    </row>
    <row r="6" spans="1:7" x14ac:dyDescent="0.2">
      <c r="A6" s="1">
        <v>1980</v>
      </c>
      <c r="B6" s="4">
        <f>0</f>
        <v>0</v>
      </c>
      <c r="C6" s="8">
        <f>100%</f>
        <v>1</v>
      </c>
      <c r="D6" s="1">
        <f>Table44[[#This Row],[X Value]]</f>
        <v>1980</v>
      </c>
      <c r="G6" s="12" t="s">
        <v>8</v>
      </c>
    </row>
    <row r="7" spans="1:7" x14ac:dyDescent="0.2">
      <c r="A7" s="1">
        <v>1990</v>
      </c>
      <c r="B7" s="4">
        <f>0</f>
        <v>0</v>
      </c>
      <c r="C7" s="8">
        <f>100%</f>
        <v>1</v>
      </c>
      <c r="D7" s="1">
        <f>Table44[[#This Row],[X Value]]</f>
        <v>1990</v>
      </c>
      <c r="G7" s="12" t="s">
        <v>9</v>
      </c>
    </row>
    <row r="8" spans="1:7" x14ac:dyDescent="0.2">
      <c r="A8" s="1">
        <v>2000</v>
      </c>
      <c r="B8" s="4">
        <f>0</f>
        <v>0</v>
      </c>
      <c r="C8" s="8">
        <v>1</v>
      </c>
      <c r="D8" s="1">
        <f>Table44[[#This Row],[X Value]]</f>
        <v>2000</v>
      </c>
      <c r="G8" s="12" t="s">
        <v>10</v>
      </c>
    </row>
    <row r="9" spans="1:7" x14ac:dyDescent="0.2">
      <c r="A9" s="1">
        <v>2010</v>
      </c>
      <c r="B9" s="4">
        <f>0</f>
        <v>0</v>
      </c>
      <c r="C9" s="8">
        <f>100%</f>
        <v>1</v>
      </c>
      <c r="D9" s="1">
        <f>Table44[[#This Row],[X Value]]</f>
        <v>2010</v>
      </c>
    </row>
    <row r="10" spans="1:7" x14ac:dyDescent="0.2">
      <c r="A10" s="1">
        <v>2020</v>
      </c>
      <c r="B10" s="4">
        <f>0</f>
        <v>0</v>
      </c>
      <c r="C10" s="8">
        <f>100%</f>
        <v>1</v>
      </c>
      <c r="D10" s="1">
        <f>Table44[[#This Row],[X Value]]</f>
        <v>2020</v>
      </c>
      <c r="G10" s="12" t="s">
        <v>11</v>
      </c>
    </row>
    <row r="19" spans="1:7" x14ac:dyDescent="0.2">
      <c r="E19" s="12" t="s">
        <v>12</v>
      </c>
      <c r="G19" s="12" t="s">
        <v>13</v>
      </c>
    </row>
    <row ht="16" r="20" spans="1:7" x14ac:dyDescent="0.2">
      <c r="A20" s="11" t="s">
        <v>14</v>
      </c>
    </row>
    <row ht="21.75" customHeight="1" r="21" spans="1:7" s="2" customFormat="1" x14ac:dyDescent="0.2">
      <c r="A21" s="7" t="s">
        <v>15</v>
      </c>
      <c r="B21" s="7" t="s">
        <v>4</v>
      </c>
      <c r="C21" s="6" t="s">
        <v>3</v>
      </c>
      <c r="D21" s="7" t="s">
        <v>16</v>
      </c>
      <c r="E21" s="2" t="s">
        <v>17</v>
      </c>
    </row>
    <row r="22" spans="1:7" x14ac:dyDescent="0.2">
      <c r="A22" s="1">
        <v>1970</v>
      </c>
      <c r="B22" s="13">
        <v>0.25</v>
      </c>
      <c r="C22" s="5">
        <f>IF(NOT(ISBLANK(Table13[[#This Row],[YEAR]])),Table13[[#This Row],[YEAR]],NA())</f>
        <v>1970</v>
      </c>
      <c r="D22" s="29">
        <f>30%</f>
        <v>0.3</v>
      </c>
      <c r="E22" s="31" t="s">
        <v>18</v>
      </c>
      <c r="F22" s="3"/>
    </row>
    <row r="23" spans="1:7" x14ac:dyDescent="0.2">
      <c r="A23" s="1">
        <v>1975</v>
      </c>
      <c r="B23" s="13">
        <v>0.65</v>
      </c>
      <c r="C23" s="5">
        <f>IF(NOT(ISBLANK(Table13[[#This Row],[YEAR]])),Table13[[#This Row],[YEAR]],NA())</f>
        <v>1975</v>
      </c>
      <c r="D23" s="29">
        <f>30%</f>
        <v>0.3</v>
      </c>
      <c r="E23" s="31" t="s">
        <v>19</v>
      </c>
      <c r="F23" s="3"/>
    </row>
    <row r="24" spans="1:7" x14ac:dyDescent="0.2">
      <c r="A24" s="1">
        <v>1992</v>
      </c>
      <c r="B24" s="13">
        <v>0.5</v>
      </c>
      <c r="C24" s="5">
        <f>IF(NOT(ISBLANK(Table13[[#This Row],[YEAR]])),Table13[[#This Row],[YEAR]],NA())</f>
        <v>1992</v>
      </c>
      <c r="D24" s="29">
        <f>30%</f>
        <v>0.3</v>
      </c>
      <c r="E24" s="31" t="s">
        <v>20</v>
      </c>
      <c r="F24" s="3"/>
    </row>
    <row r="25" spans="1:7" x14ac:dyDescent="0.2">
      <c r="A25" s="1">
        <v>1985</v>
      </c>
      <c r="B25" s="13">
        <v>0.2</v>
      </c>
      <c r="C25" s="5">
        <f>IF(NOT(ISBLANK(Table13[[#This Row],[YEAR]])),Table13[[#This Row],[YEAR]],NA())</f>
        <v>1985</v>
      </c>
      <c r="D25" s="29">
        <f>30%</f>
        <v>0.3</v>
      </c>
      <c r="E25" s="31" t="s">
        <v>21</v>
      </c>
      <c r="F25" s="3"/>
    </row>
    <row r="26" spans="1:7" x14ac:dyDescent="0.2">
      <c r="A26" s="1">
        <v>1998</v>
      </c>
      <c r="B26" s="13">
        <v>0.2</v>
      </c>
      <c r="C26" s="5">
        <f>IF(NOT(ISBLANK(Table13[[#This Row],[YEAR]])),Table13[[#This Row],[YEAR]],NA())</f>
        <v>1998</v>
      </c>
      <c r="D26" s="29">
        <f>30%</f>
        <v>0.3</v>
      </c>
      <c r="E26" s="31" t="s">
        <v>22</v>
      </c>
      <c r="F26" s="3"/>
    </row>
    <row r="27" spans="1:7" x14ac:dyDescent="0.2">
      <c r="A27" s="1">
        <v>2002</v>
      </c>
      <c r="B27" s="13">
        <v>0.7</v>
      </c>
      <c r="C27" s="5">
        <f>IF(NOT(ISBLANK(Table13[[#This Row],[YEAR]])),Table13[[#This Row],[YEAR]],NA())</f>
        <v>2002</v>
      </c>
      <c r="D27" s="29">
        <f>30%</f>
        <v>0.3</v>
      </c>
      <c r="E27" s="31" t="s">
        <v>23</v>
      </c>
      <c r="F27" s="3"/>
    </row>
    <row r="28" spans="1:7" x14ac:dyDescent="0.2">
      <c r="A28" s="1">
        <v>2010</v>
      </c>
      <c r="B28" s="13">
        <v>0.4</v>
      </c>
      <c r="C28" s="5">
        <f>IF(NOT(ISBLANK(Table13[[#This Row],[YEAR]])),Table13[[#This Row],[YEAR]],NA())</f>
        <v>2010</v>
      </c>
      <c r="D28" s="29">
        <f>30%</f>
        <v>0.3</v>
      </c>
      <c r="E28" s="31" t="s">
        <v>24</v>
      </c>
      <c r="F28" s="3"/>
    </row>
    <row r="29" spans="1:7" x14ac:dyDescent="0.2">
      <c r="A29" s="1">
        <v>2014</v>
      </c>
      <c r="B29" s="13">
        <v>0.75</v>
      </c>
      <c r="C29" s="5">
        <f>IF(NOT(ISBLANK(Table13[[#This Row],[YEAR]])),Table13[[#This Row],[YEAR]],NA())</f>
        <v>2014</v>
      </c>
      <c r="D29" s="29">
        <f>30%</f>
        <v>0.3</v>
      </c>
      <c r="E29" s="31" t="s">
        <v>25</v>
      </c>
      <c r="F29" s="3"/>
    </row>
    <row r="30" spans="1:7" x14ac:dyDescent="0.2">
      <c r="A30" s="1">
        <v>2015</v>
      </c>
      <c r="B30" s="13">
        <v>0.87</v>
      </c>
      <c r="C30" s="5">
        <f>IF(NOT(ISBLANK(Table13[[#This Row],[YEAR]])),Table13[[#This Row],[YEAR]],NA())</f>
        <v>2015</v>
      </c>
      <c r="D30" s="29">
        <v>0.3</v>
      </c>
      <c r="E30" s="31" t="s">
        <v>34</v>
      </c>
      <c r="F30" s="3"/>
    </row>
    <row r="31" spans="1:7" x14ac:dyDescent="0.2">
      <c r="A31" s="9">
        <f>YEAR(TODAY())+(MONTH(TODAY())-1)/12+DAY(TODAY())/365.25</f>
        <v>2026.14904175222</v>
      </c>
      <c r="B31" s="13">
        <v>0.2</v>
      </c>
      <c r="C31" s="5">
        <f>IF(NOT(ISBLANK(Table13[[#This Row],[YEAR]])),Table13[[#This Row],[YEAR]],NA())</f>
        <v>2018.21594798084</v>
      </c>
      <c r="D31" s="8">
        <f>30%</f>
        <v>0.3</v>
      </c>
      <c r="E31" s="31" t="s">
        <v>26</v>
      </c>
      <c r="F31" s="3"/>
    </row>
    <row r="49" spans="1:7" x14ac:dyDescent="0.2">
      <c r="D49" s="30"/>
      <c r="E49" s="31"/>
      <c r="F49" s="12" t="s">
        <v>12</v>
      </c>
      <c r="G49" s="12"/>
    </row>
    <row r="50" spans="1:7" x14ac:dyDescent="0.2">
      <c r="D50" s="30"/>
      <c r="E50" s="31"/>
      <c r="G50" s="12"/>
    </row>
    <row r="51" spans="1:7" x14ac:dyDescent="0.2">
      <c r="D51" s="30"/>
      <c r="E51" s="31"/>
      <c r="G51" s="12"/>
    </row>
    <row r="52" spans="1:7" x14ac:dyDescent="0.2">
      <c r="D52" s="30"/>
      <c r="E52" s="31"/>
    </row>
    <row r="53" spans="1:7" x14ac:dyDescent="0.2">
      <c r="E53" s="31"/>
    </row>
    <row ht="17.95" customHeight="1" r="56" spans="1:7" x14ac:dyDescent="0.2"/>
  </sheetData>
  <hyperlinks>
    <hyperlink ref="G4" r:id="rId1" xr:uid="{00000000-0004-0000-0000-000000000000}"/>
  </hyperlinks>
  <pageMargins left="0.5" right="0.5" top="0.5" bottom="0.5" header="0.3" footer="0.3"/>
  <pageSetup orientation="portrait" r:id="rId2"/>
  <drawing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showGridLines="0" workbookViewId="0">
      <selection pane="topLeft" activeCell="A1"/>
    </sheetView>
  </sheetViews>
  <sheetFormatPr baseColWidth="10" defaultColWidth="8.83203125" defaultRowHeight="15"/>
  <cols>
    <col min="1" max="1" width="3.6640625" style="25" customWidth="1"/>
    <col min="2" max="2" width="71.83203125" style="25" customWidth="1"/>
    <col min="3" max="3" width="6.5" customWidth="1"/>
  </cols>
  <sheetData>
    <row ht="33" customHeight="1" r="1" spans="1:3" x14ac:dyDescent="0.2">
      <c r="A1" s="15"/>
      <c r="B1" s="15" t="s">
        <v>0</v>
      </c>
      <c r="C1" s="15"/>
    </row>
    <row ht="16" r="2" spans="1:3" x14ac:dyDescent="0.2">
      <c r="A2" s="16"/>
      <c r="B2" s="17"/>
      <c r="C2" s="18"/>
    </row>
    <row r="3" spans="1:3" x14ac:dyDescent="0.2">
      <c r="A3" s="16"/>
      <c r="B3" s="19" t="s">
        <v>27</v>
      </c>
      <c r="C3" s="18"/>
    </row>
    <row r="4" spans="1:3" x14ac:dyDescent="0.2">
      <c r="A4" s="16"/>
      <c r="B4" s="26" t="s">
        <v>28</v>
      </c>
      <c r="C4" s="18"/>
    </row>
    <row ht="16" r="5" spans="1:3" x14ac:dyDescent="0.2">
      <c r="A5" s="16"/>
      <c r="B5" s="20"/>
      <c r="C5" s="18"/>
    </row>
    <row ht="16" r="6" spans="1:3" x14ac:dyDescent="0.2">
      <c r="A6" s="16"/>
      <c r="B6" s="21" t="s">
        <v>2</v>
      </c>
      <c r="C6" s="18"/>
    </row>
    <row ht="16" r="7" spans="1:3" x14ac:dyDescent="0.2">
      <c r="A7" s="16"/>
      <c r="B7" s="20"/>
      <c r="C7" s="18"/>
    </row>
    <row ht="32" r="8" spans="1:3" x14ac:dyDescent="0.2">
      <c r="A8" s="16"/>
      <c r="B8" s="20" t="s">
        <v>29</v>
      </c>
      <c r="C8" s="18"/>
    </row>
    <row ht="16" r="9" spans="1:3" x14ac:dyDescent="0.2">
      <c r="A9" s="16"/>
      <c r="B9" s="20"/>
      <c r="C9" s="18"/>
    </row>
    <row ht="32" r="10" spans="1:3" x14ac:dyDescent="0.2">
      <c r="A10" s="16"/>
      <c r="B10" s="20" t="s">
        <v>30</v>
      </c>
      <c r="C10" s="18"/>
    </row>
    <row ht="16" r="11" spans="1:3" x14ac:dyDescent="0.2">
      <c r="A11" s="16"/>
      <c r="B11" s="20"/>
      <c r="C11" s="18"/>
    </row>
    <row ht="32" r="12" spans="1:3" x14ac:dyDescent="0.2">
      <c r="A12" s="16"/>
      <c r="B12" s="20" t="s">
        <v>31</v>
      </c>
      <c r="C12" s="18"/>
    </row>
    <row ht="16" r="13" spans="1:3" x14ac:dyDescent="0.2">
      <c r="A13" s="16"/>
      <c r="B13" s="20"/>
      <c r="C13" s="18"/>
    </row>
    <row ht="16" r="14" spans="1:3" x14ac:dyDescent="0.2">
      <c r="A14" s="16"/>
      <c r="B14" s="22" t="s">
        <v>32</v>
      </c>
      <c r="C14" s="18"/>
    </row>
    <row ht="16" r="15" spans="1:3" x14ac:dyDescent="0.2">
      <c r="A15" s="16"/>
      <c r="B15" s="23"/>
      <c r="C15" s="18"/>
    </row>
    <row ht="16" r="16" spans="1:3" x14ac:dyDescent="0.2">
      <c r="A16" s="16"/>
      <c r="B16" s="24" t="s">
        <v>33</v>
      </c>
      <c r="C16" s="18"/>
    </row>
    <row r="17" spans="1:3" x14ac:dyDescent="0.2">
      <c r="A17" s="16"/>
      <c r="B17" s="16"/>
      <c r="C17" s="18"/>
    </row>
    <row r="18" spans="1:3" x14ac:dyDescent="0.2">
      <c r="A18" s="16"/>
      <c r="B18" s="16"/>
      <c r="C18" s="18"/>
    </row>
    <row r="19" spans="1:3" x14ac:dyDescent="0.2">
      <c r="A19" s="16"/>
      <c r="B19" s="16"/>
      <c r="C19" s="18"/>
    </row>
    <row r="20" spans="1:3" x14ac:dyDescent="0.2">
      <c r="A20" s="16"/>
      <c r="B20" s="16"/>
      <c r="C20" s="18"/>
    </row>
    <row r="21" spans="1:3" x14ac:dyDescent="0.2">
      <c r="A21" s="16"/>
      <c r="B21" s="16"/>
      <c r="C21" s="18"/>
    </row>
    <row r="22" spans="1:3" x14ac:dyDescent="0.2">
      <c r="A22" s="16"/>
      <c r="B22" s="16"/>
      <c r="C22" s="18"/>
    </row>
    <row r="23" spans="1:3" x14ac:dyDescent="0.2">
      <c r="A23" s="16"/>
      <c r="B23" s="16"/>
      <c r="C23" s="18"/>
    </row>
    <row r="24" spans="1:3" x14ac:dyDescent="0.2">
      <c r="A24" s="16"/>
      <c r="B24" s="16"/>
      <c r="C24" s="18"/>
    </row>
    <row r="25" spans="1:3" x14ac:dyDescent="0.2">
      <c r="A25" s="16"/>
      <c r="B25" s="16"/>
      <c r="C25" s="18"/>
    </row>
    <row r="26" spans="1:3" x14ac:dyDescent="0.2">
      <c r="A26" s="16"/>
      <c r="B26" s="16"/>
      <c r="C26" s="18"/>
    </row>
    <row r="27" spans="1:3" x14ac:dyDescent="0.2">
      <c r="A27" s="16"/>
      <c r="B27" s="16"/>
      <c r="C27" s="18"/>
    </row>
    <row r="28" spans="1:3" x14ac:dyDescent="0.2">
      <c r="A28" s="16"/>
      <c r="B28" s="16"/>
      <c r="C28" s="18"/>
    </row>
  </sheetData>
  <hyperlinks>
    <hyperlink ref="B14" r:id="rId1" xr:uid="{00000000-0004-0000-0100-000000000000}"/>
    <hyperlink ref="B4" r:id="rId2" xr:uid="{00000000-0004-0000-01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Horizontal</vt:lpstr>
      <vt:lpstr>©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Bubble Chart Timeline Template</dc:title>
  <dc:subject/>
  <dc:creator>Vertex42.com</dc:creator>
  <cp:keywords/>
  <dc:description>(c) 2017 Vertex42 LLC. All Rights Reserved.</dc:description>
  <cp:lastModifiedBy>Alan Richardson</cp:lastModifiedBy>
  <cp:revision/>
  <dcterms:created xsi:type="dcterms:W3CDTF">2017-02-09T21:12:36Z</dcterms:created>
  <dcterms:modified xsi:type="dcterms:W3CDTF">2018-03-18T09:36:34Z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2017 Vertex42 LLC</vt:lpwstr>
  </property>
  <property fmtid="{D5CDD505-2E9C-101B-9397-08002B2CF9AE}" pid="3" name="Version">
    <vt:lpwstr>1.0.0</vt:lpwstr>
  </property>
</Properties>
</file>