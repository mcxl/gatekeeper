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MACKSC\Desktop\"/>
    </mc:Choice>
  </mc:AlternateContent>
  <bookViews>
    <workbookView xWindow="-12" yWindow="4428" windowWidth="15336" windowHeight="3888" tabRatio="730" activeTab="2"/>
  </bookViews>
  <sheets>
    <sheet name="Cover Page" sheetId="15" r:id="rId1"/>
    <sheet name="References" sheetId="16" r:id="rId2"/>
    <sheet name="RISK ASSESSMENT" sheetId="10" r:id="rId3"/>
    <sheet name="Risk reduction action plan" sheetId="13" r:id="rId4"/>
    <sheet name="GLD.017 Risk matrix" sheetId="21" r:id="rId5"/>
    <sheet name="BowTie - Example" sheetId="22"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xlnm._FilterDatabase" localSheetId="2" hidden="1">'RISK ASSESSMENT'!$B$5:$X$5</definedName>
    <definedName name="_gbp01">[1]Instructions!$G$27</definedName>
    <definedName name="_x3">'[2]Well Assumptions'!#REF!</definedName>
    <definedName name="_x5">'[2]Well Assumptions'!#REF!</definedName>
    <definedName name="_x6">'[2]Well Assumptions'!#REF!</definedName>
    <definedName name="_x7">'[2]Well Assumptions'!#REF!</definedName>
    <definedName name="_x8">'[2]Well Assumptions'!#REF!</definedName>
    <definedName name="_x9">'[2]Well Assumptions'!#REF!</definedName>
    <definedName name="a">'[2]Well Assumptions'!#REF!</definedName>
    <definedName name="BOE">'[3]Lifting Costs'!$B$4</definedName>
    <definedName name="BSFCase">'[4]CASE SELECTOR'!#REF!</definedName>
    <definedName name="BSFNCase">'[4]CASE SELECTOR'!#REF!</definedName>
    <definedName name="Case0">#REF!</definedName>
    <definedName name="Case1">#REF!</definedName>
    <definedName name="Case10">'[5]Well Assumptions'!#REF!</definedName>
    <definedName name="Case11">'[5]Well Assumptions'!#REF!</definedName>
    <definedName name="Case2">#REF!</definedName>
    <definedName name="Case2B">'[5]Well Assumptions'!#REF!</definedName>
    <definedName name="Case3">'[5]Well Assumptions'!#REF!</definedName>
    <definedName name="Case4A">'[5]Well Assumptions'!#REF!</definedName>
    <definedName name="Case4B">'[5]Well Assumptions'!#REF!</definedName>
    <definedName name="Case5">'[5]Well Assumptions'!#REF!</definedName>
    <definedName name="Case6">'[5]Well Assumptions'!#REF!</definedName>
    <definedName name="Case6A">'[5]Well Assumptions'!#REF!</definedName>
    <definedName name="Case6B">'[5]Well Assumptions'!#REF!</definedName>
    <definedName name="Case7">'[5]Well Assumptions'!#REF!</definedName>
    <definedName name="Case8">'[5]Well Assumptions'!#REF!</definedName>
    <definedName name="Case9A">'[5]Well Assumptions'!#REF!</definedName>
    <definedName name="Case9B">'[5]Well Assumptions'!#REF!</definedName>
    <definedName name="cateringfactorreduce">#REF!</definedName>
    <definedName name="conv_scf_m3">'[3]Lifting Costs'!$A$3</definedName>
    <definedName name="CostAnalysis">#REF!</definedName>
    <definedName name="CostArray">[6]CostingArray!#REF!</definedName>
    <definedName name="dataset">#REF!</definedName>
    <definedName name="DouglasCrewCosts">#REF!</definedName>
    <definedName name="gbp">[1]Instructions!$G$26</definedName>
    <definedName name="Impacts">#REF!</definedName>
    <definedName name="Liquid">'[7]Actual Data'!$A$232:$N$304</definedName>
    <definedName name="manpowerfactor">#REF!</definedName>
    <definedName name="Oil">'[8]Actual Data'!$A$7:$O$83</definedName>
    <definedName name="OSICrewCosts">#REF!</definedName>
    <definedName name="parecelsize">#REF!</definedName>
    <definedName name="POACrewCosts">#REF!</definedName>
    <definedName name="poundstodollars">'[3]Lifting Costs'!$B$5</definedName>
    <definedName name="_xlnm.Print_Area" localSheetId="5">'BowTie - Example'!$A$1:$AE$52</definedName>
    <definedName name="_xlnm.Print_Area" localSheetId="2">'RISK ASSESSMENT'!$B$2:$R$19</definedName>
    <definedName name="_xlnm.Print_Titles" localSheetId="2">'RISK ASSESSMENT'!$2:$5</definedName>
    <definedName name="rateprofile">[9]RateProfiles!$A$1:$J$38</definedName>
    <definedName name="RODF6Case">'[4]CASE SELECTOR'!#REF!</definedName>
    <definedName name="RODTAG1Case">'[4]CASE SELECTOR'!#REF!</definedName>
    <definedName name="scf_to_cubic_m">'[3]Lifting Costs'!$B$3</definedName>
    <definedName name="SFNECase">'[4]CASE SELECTOR'!#REF!</definedName>
    <definedName name="Sheet_1" localSheetId="4">#REF!</definedName>
    <definedName name="Sheet_1">#REF!</definedName>
    <definedName name="Water">'[8]Actual Data'!$A$86:$O$163</definedName>
    <definedName name="x2b">'[2]Well Assumptions'!#REF!</definedName>
    <definedName name="x4a">'[2]Well Assumptions'!#REF!</definedName>
    <definedName name="x4b">'[2]Well Assumptions'!#REF!</definedName>
    <definedName name="x6a">'[2]Well Assumptions'!#REF!</definedName>
    <definedName name="x6b">'[2]Well Assumptions'!#REF!</definedName>
    <definedName name="x9b">'[2]Well Assumptions'!#REF!</definedName>
    <definedName name="xx">'[2]Well Assumptions'!#REF!</definedName>
    <definedName name="xxx">'[2]Well Assumptions'!#REF!</definedName>
    <definedName name="xxxxx">'[2]Well Assumptions'!#REF!</definedName>
  </definedNames>
  <calcPr calcId="152511"/>
</workbook>
</file>

<file path=xl/calcChain.xml><?xml version="1.0" encoding="utf-8"?>
<calcChain xmlns="http://schemas.openxmlformats.org/spreadsheetml/2006/main">
  <c r="O12" i="10" l="1"/>
  <c r="O11" i="10" l="1"/>
  <c r="O6" i="10" l="1"/>
  <c r="O8" i="10"/>
  <c r="D14" i="10"/>
  <c r="O15" i="10"/>
  <c r="S4" i="10" l="1"/>
  <c r="N19" i="22" l="1"/>
  <c r="O2" i="10" l="1"/>
  <c r="D1" i="13" l="1"/>
  <c r="B8" i="10"/>
  <c r="A4" i="16"/>
  <c r="A5" i="16" s="1"/>
  <c r="A6" i="16" s="1"/>
  <c r="A7" i="16" s="1"/>
  <c r="A8" i="16" s="1"/>
  <c r="A9" i="16" s="1"/>
  <c r="A10" i="16" s="1"/>
  <c r="A11" i="16" s="1"/>
  <c r="A12" i="16" s="1"/>
  <c r="A13" i="16" s="1"/>
  <c r="A14" i="16" s="1"/>
  <c r="A15" i="16" s="1"/>
  <c r="A16" i="16" s="1"/>
  <c r="A17" i="16" s="1"/>
  <c r="A18" i="16" s="1"/>
  <c r="A19" i="16" s="1"/>
  <c r="A20" i="16" s="1"/>
  <c r="A21" i="16" s="1"/>
  <c r="A22" i="16" s="1"/>
</calcChain>
</file>

<file path=xl/sharedStrings.xml><?xml version="1.0" encoding="utf-8"?>
<sst xmlns="http://schemas.openxmlformats.org/spreadsheetml/2006/main" count="242" uniqueCount="208">
  <si>
    <t>Position</t>
  </si>
  <si>
    <t>Date:</t>
  </si>
  <si>
    <t>Description</t>
  </si>
  <si>
    <t>Actioned By When</t>
  </si>
  <si>
    <t>Issue #</t>
  </si>
  <si>
    <t>New Actions / Further Requirements</t>
  </si>
  <si>
    <t>Action</t>
  </si>
  <si>
    <t>Responsiblility</t>
  </si>
  <si>
    <t>Due Date</t>
  </si>
  <si>
    <t>Hazard/
Aspect</t>
  </si>
  <si>
    <t>Current Controls</t>
  </si>
  <si>
    <t>Physical Site:</t>
  </si>
  <si>
    <t xml:space="preserve">Department: </t>
  </si>
  <si>
    <t>Area:</t>
  </si>
  <si>
    <t xml:space="preserve">Other References:
Documents/Photographs: </t>
  </si>
  <si>
    <t>Ref.</t>
  </si>
  <si>
    <t>Number</t>
  </si>
  <si>
    <t>Title</t>
  </si>
  <si>
    <t>Actioned by Who?
(Name and Surname)</t>
  </si>
  <si>
    <t xml:space="preserve">BHPB IRON ORE RISK REGISTER COVER PAGE
</t>
  </si>
  <si>
    <t xml:space="preserve">Reference documents included in the Risk Assessment workshop
</t>
  </si>
  <si>
    <t>Severity Factor</t>
  </si>
  <si>
    <t>Likelihood Factor</t>
  </si>
  <si>
    <t>RRR</t>
  </si>
  <si>
    <t>Residual Risk</t>
  </si>
  <si>
    <t>Risk Assessment Event</t>
  </si>
  <si>
    <t xml:space="preserve">Likelihood </t>
  </si>
  <si>
    <t>Severity</t>
  </si>
  <si>
    <t>DO NOT REMOVE</t>
  </si>
  <si>
    <t>No</t>
  </si>
  <si>
    <t xml:space="preserve"> </t>
  </si>
  <si>
    <t>First Name</t>
  </si>
  <si>
    <t>Last Name</t>
  </si>
  <si>
    <t>List of Risk Assessment Attendees:</t>
  </si>
  <si>
    <t>AMENDMENTS</t>
  </si>
  <si>
    <t>Version</t>
  </si>
  <si>
    <t>Revised By</t>
  </si>
  <si>
    <t>Approved By</t>
  </si>
  <si>
    <t>Reason for change</t>
  </si>
  <si>
    <t>Authorisation of Risk Assessment:</t>
  </si>
  <si>
    <t>Reviewed By</t>
  </si>
  <si>
    <t>Comments / Feedback / Amendments</t>
  </si>
  <si>
    <t>Date</t>
  </si>
  <si>
    <t>Preventive Controls</t>
  </si>
  <si>
    <t>Mitigating Controls</t>
  </si>
  <si>
    <t>MFL Level</t>
  </si>
  <si>
    <t>Basis for MFL</t>
  </si>
  <si>
    <t>Entered in to 1SAP</t>
  </si>
  <si>
    <t>Yes</t>
  </si>
  <si>
    <t xml:space="preserve"> Date</t>
  </si>
  <si>
    <t>Comments / Progress</t>
  </si>
  <si>
    <t>Status</t>
  </si>
  <si>
    <t>Install/Repair "Hungry" boards</t>
  </si>
  <si>
    <t>Working at Heights</t>
  </si>
  <si>
    <t>Fall from height to ground</t>
  </si>
  <si>
    <t>Single Fatality</t>
  </si>
  <si>
    <t>There are maximum 2 people working at any given time and therefore, most plausible scenario is a single fatality.</t>
  </si>
  <si>
    <t xml:space="preserve">1. Work at Height Task Management -
Work at heights activities identified at work planning, controls identified and resourced  
2. Work at Height Equipment Management -
Ladders, Work Platforms, Mobile Equipment (EWP, Scissor Lift) and Scaffolds designed, inspected and maintained to BHPBIO standards    
3. Fall Injury Prevention System
Fall Injury Prevention equipment registered, tagged, inspected, worn and/or attached correctly prior to use.
</t>
  </si>
  <si>
    <t xml:space="preserve">Work at Height Rescue Plan  in place and resources available </t>
  </si>
  <si>
    <t>Install temporary steps with handrails and handrails at the back of the tray.</t>
  </si>
  <si>
    <t>Failure of EWP - mechanical/hydraulic failure, toppling due to unstable ground conditions or high winds.     
Scaffold collapse - loosening of components (vibration and product build up) and/or during building and dismantling of scaffold structure, modification without approval.</t>
  </si>
  <si>
    <t>1SAP Notification number</t>
  </si>
  <si>
    <t xml:space="preserve">Risk Assessment Scope:
(Boundary of assessment/Subject) </t>
  </si>
  <si>
    <r>
      <t xml:space="preserve">Risk Assessment type:
</t>
    </r>
    <r>
      <rPr>
        <b/>
        <sz val="9"/>
        <rFont val="Arial"/>
        <family val="2"/>
      </rPr>
      <t>(Work place risk assessment, Construction risk assessment, Corporate risk assessment)</t>
    </r>
  </si>
  <si>
    <t xml:space="preserve">Risk Redution Action Plan </t>
  </si>
  <si>
    <r>
      <t xml:space="preserve">Risk Assessment Title / Description: </t>
    </r>
    <r>
      <rPr>
        <b/>
        <i/>
        <sz val="10"/>
        <color theme="0" tint="-0.499984740745262"/>
        <rFont val="Arial"/>
        <family val="2"/>
      </rPr>
      <t>(i.e., Mining Dept risk register)</t>
    </r>
  </si>
  <si>
    <t>Site / Department:</t>
  </si>
  <si>
    <t>BOW-TIE DIAGRAM</t>
  </si>
  <si>
    <t>DATE:</t>
  </si>
  <si>
    <t>CONTROL STATUS:</t>
  </si>
  <si>
    <t>Effective</t>
  </si>
  <si>
    <t>RISK OWNER:</t>
  </si>
  <si>
    <t>RISK ISSUE: (RISK SOURCE)</t>
  </si>
  <si>
    <t xml:space="preserve">Lifting </t>
  </si>
  <si>
    <t>CAUSES</t>
  </si>
  <si>
    <t xml:space="preserve">  IMPACTS</t>
  </si>
  <si>
    <t>Mechanical failure of crane</t>
  </si>
  <si>
    <t>Fatality</t>
  </si>
  <si>
    <t>Unauthorised modifications to crane</t>
  </si>
  <si>
    <t>Equipment damage</t>
  </si>
  <si>
    <t>Loss of production</t>
  </si>
  <si>
    <t>Ground / foundation failure</t>
  </si>
  <si>
    <t>Another piece of equipment/load enters in path of moving load</t>
  </si>
  <si>
    <t>Failure to control movement of crane</t>
  </si>
  <si>
    <t>Failure of lifting equipment (slings, chains, hooks)</t>
  </si>
  <si>
    <t>Poor rigging/slinging of load</t>
  </si>
  <si>
    <t>Load becomes entangled/caught on structure or strikes structure</t>
  </si>
  <si>
    <t>Uneven loads between two cranes</t>
  </si>
  <si>
    <t>LIKELIHOOD</t>
  </si>
  <si>
    <t>MFL</t>
  </si>
  <si>
    <t xml:space="preserve">Sudden crane movements
</t>
  </si>
  <si>
    <t>SEVERITY</t>
  </si>
  <si>
    <t>FATALITIES</t>
  </si>
  <si>
    <t>US$M</t>
  </si>
  <si>
    <t>EXISTING PREVENTIVE CONTROLS</t>
  </si>
  <si>
    <t>LINK TO CAUSES</t>
  </si>
  <si>
    <t>C/C</t>
  </si>
  <si>
    <t>CONTROL OWNER</t>
  </si>
  <si>
    <t xml:space="preserve">   EXISTING MITIGATING CONTROLS</t>
  </si>
  <si>
    <t>LINK TO IMPACTS</t>
  </si>
  <si>
    <t>Crane Inspection and Maintenance</t>
  </si>
  <si>
    <t>Y</t>
  </si>
  <si>
    <t>EMERGENCY RESPONSE</t>
  </si>
  <si>
    <t>Pre lift assessment and control of lift area</t>
  </si>
  <si>
    <t>Lifting gear inspection</t>
  </si>
  <si>
    <t>Crane Operation Controls</t>
  </si>
  <si>
    <t>Lifting Training and Competency</t>
  </si>
  <si>
    <t>Pre-job planning</t>
  </si>
  <si>
    <t>N</t>
  </si>
  <si>
    <t>Compacting ground where necessary</t>
  </si>
  <si>
    <t>Change of scope / operating conditions - Risk re-assessed</t>
  </si>
  <si>
    <t xml:space="preserve">   IMPROVEMENT TASKS</t>
  </si>
  <si>
    <t>DUE DATE</t>
  </si>
  <si>
    <t>TASK OWNER</t>
  </si>
  <si>
    <r>
      <rPr>
        <b/>
        <u/>
        <sz val="14"/>
        <rFont val="Arial"/>
        <family val="2"/>
      </rPr>
      <t>Justification</t>
    </r>
    <r>
      <rPr>
        <b/>
        <sz val="14"/>
        <rFont val="Arial"/>
        <family val="2"/>
      </rPr>
      <t xml:space="preserve"> </t>
    </r>
    <r>
      <rPr>
        <sz val="11"/>
        <rFont val="Arial"/>
        <family val="2"/>
      </rPr>
      <t xml:space="preserve">
</t>
    </r>
    <r>
      <rPr>
        <b/>
        <sz val="12"/>
        <rFont val="Arial"/>
        <family val="2"/>
      </rPr>
      <t xml:space="preserve">MFL:   </t>
    </r>
    <r>
      <rPr>
        <sz val="12"/>
        <rFont val="Arial"/>
        <family val="2"/>
      </rPr>
      <t>Single fatality based on the assumption that there will be</t>
    </r>
    <r>
      <rPr>
        <b/>
        <sz val="12"/>
        <rFont val="Arial"/>
        <family val="2"/>
      </rPr>
      <t xml:space="preserve"> </t>
    </r>
    <r>
      <rPr>
        <sz val="11"/>
        <rFont val="Arial"/>
        <family val="2"/>
      </rPr>
      <t xml:space="preserve"> not more than 2 people working and only 1 getting afftected.                                                                                                                                                                                                                               
</t>
    </r>
    <r>
      <rPr>
        <b/>
        <sz val="12"/>
        <rFont val="Arial"/>
        <family val="2"/>
      </rPr>
      <t xml:space="preserve">Severity:  </t>
    </r>
    <r>
      <rPr>
        <sz val="12"/>
        <rFont val="Arial"/>
        <family val="2"/>
      </rPr>
      <t xml:space="preserve">Level 4, with single fatality as a consequence after taking in to account all the controls in place.  </t>
    </r>
    <r>
      <rPr>
        <sz val="11"/>
        <rFont val="Arial"/>
        <family val="2"/>
      </rPr>
      <t xml:space="preserve">                                                                              
</t>
    </r>
    <r>
      <rPr>
        <b/>
        <sz val="12"/>
        <rFont val="Arial"/>
        <family val="2"/>
      </rPr>
      <t xml:space="preserve">Likelihood:  </t>
    </r>
    <r>
      <rPr>
        <sz val="12"/>
        <rFont val="Arial"/>
        <family val="2"/>
      </rPr>
      <t xml:space="preserve">This type of event could occur within 5 years period. </t>
    </r>
    <r>
      <rPr>
        <sz val="11"/>
        <rFont val="Arial"/>
        <family val="2"/>
      </rPr>
      <t xml:space="preserve">                                                                                                                              </t>
    </r>
  </si>
  <si>
    <t>1,2,3,7</t>
  </si>
  <si>
    <t>7,8,9</t>
  </si>
  <si>
    <t>1,2,3,4,5,6,7,8</t>
  </si>
  <si>
    <t>1-11</t>
  </si>
  <si>
    <t>4,5,6,8,10,11</t>
  </si>
  <si>
    <t>4,5,6,10,11</t>
  </si>
  <si>
    <t>1,2,3,4,5,6,9,10,11</t>
  </si>
  <si>
    <t>Risk Assessment Matrix (RRR)</t>
  </si>
  <si>
    <t>Overloading / overextending crane</t>
  </si>
  <si>
    <t xml:space="preserve">Multiple fatality </t>
  </si>
  <si>
    <t>Rail Access</t>
  </si>
  <si>
    <t xml:space="preserve">Chris </t>
  </si>
  <si>
    <t>Risks associated with the use of BHP Billiton Iron Ore rail access roads and rail level crossings by Mulga Downs Station personnel and associates.</t>
  </si>
  <si>
    <t>Fraser</t>
  </si>
  <si>
    <t>Project Manager - Rail Access</t>
  </si>
  <si>
    <t>*Multiple fatality</t>
  </si>
  <si>
    <r>
      <t xml:space="preserve">Activity/Task 
</t>
    </r>
    <r>
      <rPr>
        <sz val="14"/>
        <rFont val="Arial"/>
        <family val="2"/>
      </rPr>
      <t>(Description)</t>
    </r>
  </si>
  <si>
    <r>
      <t>Unplanned/unwanted Event</t>
    </r>
    <r>
      <rPr>
        <sz val="14"/>
        <rFont val="Arial"/>
        <family val="2"/>
      </rPr>
      <t xml:space="preserve">
(Issue)</t>
    </r>
  </si>
  <si>
    <r>
      <t xml:space="preserve">Contributing Factors/Causes
</t>
    </r>
    <r>
      <rPr>
        <sz val="14"/>
        <color indexed="9"/>
        <rFont val="Arial"/>
        <family val="2"/>
      </rPr>
      <t xml:space="preserve"> Root Causes
- Latent Causes
- Direct Causes</t>
    </r>
  </si>
  <si>
    <r>
      <t xml:space="preserve">Maximum Foreseeable Loss  
</t>
    </r>
    <r>
      <rPr>
        <sz val="14"/>
        <color indexed="9"/>
        <rFont val="Arial"/>
        <family val="2"/>
      </rPr>
      <t>(Most plausible worst case scenario - controls not in place)</t>
    </r>
  </si>
  <si>
    <r>
      <t xml:space="preserve">Severity Level
 </t>
    </r>
    <r>
      <rPr>
        <sz val="14"/>
        <color indexed="9"/>
        <rFont val="Arial"/>
        <family val="2"/>
      </rPr>
      <t>(Based on MFL)</t>
    </r>
  </si>
  <si>
    <r>
      <t xml:space="preserve">Impact
</t>
    </r>
    <r>
      <rPr>
        <sz val="14"/>
        <color indexed="9"/>
        <rFont val="Arial"/>
        <family val="2"/>
      </rPr>
      <t xml:space="preserve">(Most plausible worst case scenario - with controls in place) </t>
    </r>
  </si>
  <si>
    <t xml:space="preserve">Newman Mainline - Mulga Downs Station Boundries (NML 212.7 - NML 254.1km, including Chitchester Deviation) </t>
  </si>
  <si>
    <t>Rail Operations</t>
  </si>
  <si>
    <t>identify and assess and manage, so far as is reasonably practicable, risks to safety that may arise from railway operations carried out on or in relation to rail infrastructure wholly or partly because of the existence of any rail or road crossing that is part of a road.</t>
  </si>
  <si>
    <t>risks to safety risk assessment</t>
  </si>
  <si>
    <t>Susan</t>
  </si>
  <si>
    <t>Mackay</t>
  </si>
  <si>
    <t>Specialist - Rail Access</t>
  </si>
  <si>
    <t>Rail Safety National Law (WA) Regulations 2015 - [00-b0-01]</t>
  </si>
  <si>
    <t>Rail Safety National Law (WA) Act 2015</t>
  </si>
  <si>
    <t>Legislation Document</t>
  </si>
  <si>
    <t>N/A</t>
  </si>
  <si>
    <t>BHPBIO Rail Interface Agreement with Mulga Downs</t>
  </si>
  <si>
    <t>STIA-07 Mulga Downs</t>
  </si>
  <si>
    <t xml:space="preserve">Interface Agreement / Interface Co-oordination - Rail or Road </t>
  </si>
  <si>
    <t xml:space="preserve"> *Objective but reversible </t>
  </si>
  <si>
    <t xml:space="preserve">*Vehicle or equipment rollover 
</t>
  </si>
  <si>
    <t>*Railway obstructed</t>
  </si>
  <si>
    <t>*A multi-passenger vehicle and train collision which could result in multiple fatalities</t>
  </si>
  <si>
    <t>Objective but reversible</t>
  </si>
  <si>
    <r>
      <rPr>
        <b/>
        <sz val="14"/>
        <rFont val="Calibri"/>
        <family val="2"/>
        <scheme val="minor"/>
      </rPr>
      <t xml:space="preserve">*Compliance with CASA regulations
</t>
    </r>
    <r>
      <rPr>
        <sz val="14"/>
        <rFont val="Calibri"/>
        <family val="2"/>
        <scheme val="minor"/>
      </rPr>
      <t xml:space="preserve">
</t>
    </r>
  </si>
  <si>
    <t>*Bull buggy collides with a train, leading to multiple fatality</t>
  </si>
  <si>
    <t xml:space="preserve">Risk Assessment - Risks associated with mustering near our Railway </t>
  </si>
  <si>
    <t xml:space="preserve">Traversing railway crossings </t>
  </si>
  <si>
    <t>*Vehicle becomes stuck on railway or rail infrastructure</t>
  </si>
  <si>
    <t xml:space="preserve">* Misuse by mustering contractors
* Inappropriate type of vehicle or equipment for railway crossing design
* Vehicle unroadworthy / unregistered /not in good mechanical order 
* Vehicle breakdown
* Rail Infrastructure not suitable for use  (e.g. damaged railway crossing panels)
</t>
  </si>
  <si>
    <t xml:space="preserve">*ALCAM assessment conducted to assess the safety/compliance of signalling systems and geometry of active railway crossings
*Inspections by BHP Track Maintenance and Signals to ensure active railway crossings and passive railway crossings are safe and compliant
*Vigilance by train drivers
*Annual third party audit by Australian Road Research Board conducted on railway crossings
*Third party compliance with vehicle / equipment requirements for access over railway crossings
</t>
  </si>
  <si>
    <t xml:space="preserve">
*BHP Track Code of Practice outlining procedure for track maintenance
*Train driver competency and training
</t>
  </si>
  <si>
    <t xml:space="preserve">
*Every 5 years
*Annually
*Ongoing</t>
  </si>
  <si>
    <t>*Vehicle collides with rail infrastructure</t>
  </si>
  <si>
    <t xml:space="preserve">*Poor driver behaviour
*Vehicle unroadworthy / unregistered / not in good mechanical order
*Driver fatigue
*Inclement weather conditions
* Rail infrastructure fault including signals
*Inappropriate type of vehicle or equipment for railway crossing design
</t>
  </si>
  <si>
    <t>*Vehicle with multiple passengers colliding with rail infrastructure, e.g. boom gates or signalling equipment</t>
  </si>
  <si>
    <t xml:space="preserve">*ALCAM assessment conducted to assess the safety / compliance of signalling systems and geometry of active railway crossings
* Regular inspections and maintenance by BHP Track Maintenance and Track &amp; Signals to ensure rail infrastructure is safe and compliant
*Vigilance by train drivers
* Vehicles unroadworthy / unregistered / not in good mechanical order
*Third party compliance with vehicle / equipment requirements for access over railway crossings 
</t>
  </si>
  <si>
    <t xml:space="preserve">
*BHP Track Code of Practice outlining procedure for track maintenance
*Train driver competency and training
*WA Road Rules</t>
  </si>
  <si>
    <r>
      <rPr>
        <sz val="14"/>
        <rFont val="Calibri"/>
        <family val="2"/>
        <scheme val="minor"/>
      </rPr>
      <t>*PLB Mustering</t>
    </r>
    <r>
      <rPr>
        <sz val="14"/>
        <rFont val="Arial"/>
        <family val="2"/>
      </rPr>
      <t xml:space="preserve">
</t>
    </r>
  </si>
  <si>
    <t>Use of BHP access roads by mustering personnel</t>
  </si>
  <si>
    <t xml:space="preserve">*BHP access roads are unsealed, gravel roads
*Poor road conditions
*Dust
*Inclement weather conditions
*Flooding
*Speeding
*Driving or operating under the influence of drugs or alcohol
*Unlicensed or incompetent drivers / operators
*Other vehicles travelling on BHP access roads
</t>
  </si>
  <si>
    <t xml:space="preserve">*BHP access roads are unsealed, gravel roads
*Poor road conditions 
*Dust
*Inclement weather conditions
*Flooding
*Speeding
*Driving or operating under the influence of drugs or alcohol
*Unlicensed or incompetent drivers / operators
*Other vehicles travelling on BHP access roads
</t>
  </si>
  <si>
    <t xml:space="preserve">
*Track Maintenance traffic management plans for work groups
*BHP Rail Rule Book 
*BHP Track Code of Practice</t>
  </si>
  <si>
    <t>*Monthly
*Prior to muster</t>
  </si>
  <si>
    <t>*Vehicle / equipment operator does not see BHP workers on side of BHP access roads. This could result in multiple fatalities</t>
  </si>
  <si>
    <t xml:space="preserve">
*BHP Track Maintenance traffic management plans for work groups
*BHP Rail Rule Book 
*BHP Track Code of Practice outlining procedure for track maintenance</t>
  </si>
  <si>
    <t>*Monthly
*Prior to muster</t>
  </si>
  <si>
    <t>Mustering activities near BHP railway</t>
  </si>
  <si>
    <t xml:space="preserve">*Poor or lack of maintenance of helicopter
*Run out of or poor quality AvGas 
*Inexperienced or unlicenced operator of helicopter or drone
*Inclement weather conditions
*Poor visibility due to dust, low light conditions, night time
*Operating helicopters or drones within railway clearance limits
</t>
  </si>
  <si>
    <t xml:space="preserve">*Helicopter crashes into a train or bull buggy during mustering activities within railway clearance limits (refer to Preventative Controls column), leading to multiple fatality </t>
  </si>
  <si>
    <t xml:space="preserve">*Vehicles unroadworthy / not in good mechanical order
*Unlicensed or incompetent drivers / operators </t>
  </si>
  <si>
    <t xml:space="preserve">
</t>
  </si>
  <si>
    <t xml:space="preserve">*PLB Mustering to ensure all mitigating controls are proceduralised and all personnel are made aware of and have access to these procedures
*PLB Mustering to ensure its personnel are aware of the risks of driving near the railway and on BHP access roads and that all drivers / operator are licensed and competent
</t>
  </si>
  <si>
    <t>PLB Mustering</t>
  </si>
  <si>
    <t>*PLB Mustering to ensure all mitigating controls are proceduralised and all personnel are made aware of and have access to these procedures</t>
  </si>
  <si>
    <t>*Prior to muster</t>
  </si>
  <si>
    <t xml:space="preserve">
*BHP to undertake ALCAM reviews of Active railway crossings every 5 years
*BHP Track Maintenance to ensure railway crossings are inspected and maintained as per the BHP Track Code of Practice
*BHP to notify PLB Mustering of any closures or restrictions in relation to railway crossings 
</t>
  </si>
  <si>
    <t xml:space="preserve">
* BHP Track &amp;
Signals 
*BHP 
Track Maintenance 
* BHP
 Track Maintenance </t>
  </si>
  <si>
    <t>*Damage to railway crossing infrastructure</t>
  </si>
  <si>
    <r>
      <t>*</t>
    </r>
    <r>
      <rPr>
        <sz val="14"/>
        <rFont val="Calibri"/>
        <family val="2"/>
        <scheme val="minor"/>
      </rPr>
      <t>BHP Track Maintenance 
*PLB Mustering to inform and provide training to its personnel in relation to driving on BHP access roads</t>
    </r>
  </si>
  <si>
    <t xml:space="preserve">*Prior to muster
</t>
  </si>
  <si>
    <t xml:space="preserve">*BHP access road maintenance
*Speed limit maximum 80 kph on BHP access roads
*Driving to conditions
*No drug or alcohol policy on BHP access roads or any BHP tenure
*BHP access roads closed due to inclement weather events
*All vehicle and equipment operators must be licenced or competent for the type of vehicle or equipment being operated
*BHP road design and WA Road Rules
*All vehicles used during mustering must cross the railway at designated railway crossings 
*All drivers to abide by WA Road Rules
</t>
  </si>
  <si>
    <t>*Regular BHP access road inspection and maintenance
*Speed limit maximum 80 kph on BHP access roads
*Driving to conditions
*No drug or alcohol policy on BHP access road or BHP tenure
*BHP access roads closed due to inclement weather events
*All vehicle and equipment operators must be licenced or competent for the type of vehicle or equipment being operated
*BHP road design and WA Road Rules
*All vehicles used during mustering must cross the railway at designated railway crossings 
*All drivers to abide by WA Road Rules</t>
  </si>
  <si>
    <t xml:space="preserve">*BHP Track Maintenance 
*PLB Mustering to inform and provide training to its personnel in relation to driving on BHP access roads </t>
  </si>
  <si>
    <t xml:space="preserve">Mustering vehicles, equipment interacting with PLB Mustering personnel, BHP personnel or TPO
</t>
  </si>
  <si>
    <t>*Injury or fatality to PLB Mustering personnel, BHP personnel or TPO</t>
  </si>
  <si>
    <t xml:space="preserve">*Injury or fatality to PLB Mustering personnel, BHP personnel or TPO
</t>
  </si>
  <si>
    <t>*Potential for helicopters or drones to collide with trains, vehicles or mustering personnel, BHP personnel or TPO</t>
  </si>
  <si>
    <t>A multi passenger bull buggy / vehicle or equipment roll over</t>
  </si>
  <si>
    <r>
      <t>*Licenced and experienced helicoptor or drone pilots only
*AvGas supplied from reputable suppliers only
*AvGas stored in appropriate facilities and not kept for long periods
*No mustering activities to occur within 100 meters of the railway without prior written consent from BHP
*</t>
    </r>
    <r>
      <rPr>
        <u/>
        <sz val="14"/>
        <rFont val="Calibri"/>
        <family val="2"/>
        <scheme val="minor"/>
      </rPr>
      <t>Railway Clearance Limits</t>
    </r>
    <r>
      <rPr>
        <sz val="14"/>
        <rFont val="Calibri"/>
        <family val="2"/>
        <scheme val="minor"/>
      </rPr>
      <t xml:space="preserve"> - any helicopters and drones operated near the railway, must be flown at greater than 300 ft vertically when =&lt; 100 metres horizontally from the rail for all mustering activities, unless otherwise authorised by BHP and with the appropriate rail protection in place (e.g. electronic protection).
*All helicopters and drones used for mustering must be flown during daylight hours, in safe weather conditions and when visibility is good (within 300m metres of the Railway)
*PLB Mustering to notify BHP at least 30 days prior to any mustering activities that have the potential to impact rail operations. This will allow BHP time to implement the necessary safety measures and ensure that rail operations are not unduly disrupted
*All helicopters used during mustering must maintain radio contact on a specified UHF channel. PLB Mustering to notify BHPBIO representative of the radio channel if activities are going to be conducted within 300 metres of the railway
</t>
    </r>
  </si>
  <si>
    <r>
      <rPr>
        <sz val="14"/>
        <rFont val="Calibri"/>
        <family val="2"/>
        <scheme val="minor"/>
      </rPr>
      <t>*Potential for mustering vehicles to collide with trains, vehicles or BHP / PLB Mustering personnel or TPO</t>
    </r>
    <r>
      <rPr>
        <b/>
        <sz val="14"/>
        <rFont val="Calibri"/>
        <family val="2"/>
        <scheme val="minor"/>
      </rPr>
      <t xml:space="preserve">
</t>
    </r>
  </si>
  <si>
    <t>*PLB Mustering</t>
  </si>
  <si>
    <t>*BHP Track Maintenance to ensure all BHP access roads are inspected and maintained on a regular basis
*PLB Mustering to ensure its personnel are aware of the risks of and conditions for driving on the BHP access roads and that all drivers / operators are licensed and competent</t>
  </si>
  <si>
    <t>*BHP Track Maintenance to ensure all BHP access roads are inspected and maintained on a regular basis
*PLB Mustering to ensure all of its personnel are aware of the risks and conditions for driving on the BHP access roads and that all drivers / operator are licensed and competent</t>
  </si>
  <si>
    <t xml:space="preserve">*PLB Mustering to ensure all mustering vehicles are maintained in good mechanical order and all public road vehicles are registered and in roadworthy condition
*All PLB Mustering drivers to hold valid driver's licence
</t>
  </si>
  <si>
    <t xml:space="preserve">*All mustering vehicles must cross the railway at designated railway crossings or underneath creek bridges
*When dust, fog or rain reduces visibility, vehicles must remain at a safe distance behind the vehicle in front (i.e. 800 metres)
*All drivers must hold a valid driver’s licence for the type of vehicle or equipment operated
*All activities associated with mustering must occur during daylight hours and when visibility is good
*All vehicles used during mustering must maintain radio contact on a specified UHF channel. PLB Mustering to notify BHP representative / TPO of the radio channel if activties are going to be conducted within 300 metres of the railway
*PLB Mustering to notify BHP at least 30 days prior to any mustering activities that have the potential to impact on railway operations
*All heavy or slow-moving vehicles must request permission from Train Control to cross over a railway crossing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</si>
</sst>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0.0"/>
  </numFmts>
  <fonts count="59" x14ac:knownFonts="1">
    <font>
      <sz val="10"/>
      <name val="Arial"/>
    </font>
    <font>
      <sz val="11"/>
      <color theme="1"/>
      <name val="Arial"/>
      <family val="2"/>
    </font>
    <font>
      <sz val="11"/>
      <color theme="1"/>
      <name val="Arial"/>
      <family val="2"/>
    </font>
    <font>
      <sz val="10"/>
      <name val="Arial"/>
      <family val="2"/>
    </font>
    <font>
      <b/>
      <sz val="12"/>
      <name val="Arial"/>
      <family val="2"/>
    </font>
    <font>
      <sz val="10"/>
      <name val="Arial"/>
      <family val="2"/>
    </font>
    <font>
      <sz val="11"/>
      <name val="Arial"/>
      <family val="2"/>
    </font>
    <font>
      <b/>
      <sz val="11"/>
      <name val="Arial"/>
      <family val="2"/>
    </font>
    <font>
      <sz val="12"/>
      <name val="Arial"/>
      <family val="2"/>
    </font>
    <font>
      <b/>
      <sz val="10"/>
      <name val="Arial"/>
      <family val="2"/>
    </font>
    <font>
      <b/>
      <sz val="10"/>
      <color indexed="9"/>
      <name val="Arial"/>
      <family val="2"/>
    </font>
    <font>
      <sz val="8"/>
      <name val="Arial"/>
      <family val="2"/>
    </font>
    <font>
      <b/>
      <sz val="14"/>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1"/>
      <color indexed="9"/>
      <name val="Arial"/>
      <family val="2"/>
    </font>
    <font>
      <b/>
      <sz val="20"/>
      <name val="Arial"/>
      <family val="2"/>
    </font>
    <font>
      <sz val="20"/>
      <name val="Arial"/>
      <family val="2"/>
    </font>
    <font>
      <b/>
      <sz val="9"/>
      <name val="Arial"/>
      <family val="2"/>
    </font>
    <font>
      <sz val="12"/>
      <color indexed="10"/>
      <name val="Arial"/>
      <family val="2"/>
    </font>
    <font>
      <b/>
      <sz val="10"/>
      <color indexed="8"/>
      <name val="Arial"/>
      <family val="2"/>
    </font>
    <font>
      <sz val="10"/>
      <color indexed="8"/>
      <name val="Arial"/>
      <family val="2"/>
    </font>
    <font>
      <b/>
      <i/>
      <sz val="10"/>
      <color theme="0" tint="-0.499984740745262"/>
      <name val="Arial"/>
      <family val="2"/>
    </font>
    <font>
      <b/>
      <sz val="14"/>
      <color indexed="9"/>
      <name val="Arial"/>
      <family val="2"/>
    </font>
    <font>
      <sz val="8"/>
      <name val="Tahoma"/>
      <family val="2"/>
    </font>
    <font>
      <u/>
      <sz val="8"/>
      <name val="Tahoma"/>
      <family val="2"/>
    </font>
    <font>
      <b/>
      <u/>
      <sz val="18"/>
      <name val="Arial"/>
      <family val="2"/>
    </font>
    <font>
      <b/>
      <sz val="16"/>
      <name val="Arial"/>
      <family val="2"/>
    </font>
    <font>
      <b/>
      <sz val="18"/>
      <name val="Arial"/>
      <family val="2"/>
    </font>
    <font>
      <b/>
      <sz val="14"/>
      <color theme="0"/>
      <name val="Arial"/>
      <family val="2"/>
    </font>
    <font>
      <b/>
      <sz val="18"/>
      <name val="Arial Narrow"/>
      <family val="2"/>
    </font>
    <font>
      <sz val="12"/>
      <name val="Arial Narrow"/>
      <family val="2"/>
    </font>
    <font>
      <sz val="12"/>
      <name val="Tahoma"/>
      <family val="2"/>
    </font>
    <font>
      <b/>
      <sz val="12"/>
      <name val="Tahoma"/>
      <family val="2"/>
    </font>
    <font>
      <b/>
      <u/>
      <sz val="14"/>
      <name val="Arial"/>
      <family val="2"/>
    </font>
    <font>
      <b/>
      <u/>
      <sz val="16"/>
      <name val="Arial"/>
      <family val="2"/>
    </font>
    <font>
      <b/>
      <sz val="12"/>
      <color theme="1"/>
      <name val="Arial"/>
      <family val="2"/>
    </font>
    <font>
      <sz val="12"/>
      <color indexed="23"/>
      <name val="Arial"/>
      <family val="2"/>
    </font>
    <font>
      <b/>
      <sz val="12"/>
      <color rgb="FFFF0000"/>
      <name val="Arial"/>
      <family val="2"/>
    </font>
    <font>
      <sz val="14"/>
      <name val="Arial"/>
      <family val="2"/>
    </font>
    <font>
      <sz val="14"/>
      <color indexed="9"/>
      <name val="Arial"/>
      <family val="2"/>
    </font>
    <font>
      <sz val="14"/>
      <name val="Calibri"/>
      <family val="2"/>
      <scheme val="minor"/>
    </font>
    <font>
      <b/>
      <sz val="14"/>
      <name val="Calibri"/>
      <family val="2"/>
      <scheme val="minor"/>
    </font>
    <font>
      <u/>
      <sz val="14"/>
      <name val="Calibri"/>
      <family val="2"/>
      <scheme val="minor"/>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54"/>
        <bgColor indexed="64"/>
      </patternFill>
    </fill>
    <fill>
      <patternFill patternType="solid">
        <fgColor indexed="43"/>
        <bgColor indexed="64"/>
      </patternFill>
    </fill>
    <fill>
      <patternFill patternType="solid">
        <fgColor indexed="9"/>
        <bgColor indexed="64"/>
      </patternFill>
    </fill>
    <fill>
      <patternFill patternType="solid">
        <fgColor indexed="47"/>
        <bgColor indexed="64"/>
      </patternFill>
    </fill>
    <fill>
      <patternFill patternType="solid">
        <fgColor indexed="17"/>
        <bgColor indexed="64"/>
      </patternFill>
    </fill>
    <fill>
      <patternFill patternType="solid">
        <fgColor indexed="22"/>
        <bgColor indexed="22"/>
      </patternFill>
    </fill>
    <fill>
      <patternFill patternType="solid">
        <fgColor theme="0"/>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indexed="26"/>
        <bgColor indexed="47"/>
      </patternFill>
    </fill>
    <fill>
      <patternFill patternType="solid">
        <fgColor rgb="FF444744"/>
        <bgColor indexed="64"/>
      </patternFill>
    </fill>
    <fill>
      <patternFill patternType="solid">
        <fgColor theme="1" tint="0.249977111117893"/>
        <bgColor indexed="64"/>
      </patternFill>
    </fill>
    <fill>
      <patternFill patternType="solid">
        <fgColor indexed="55"/>
        <bgColor indexed="64"/>
      </patternFill>
    </fill>
    <fill>
      <patternFill patternType="solid">
        <fgColor theme="3" tint="0.79998168889431442"/>
        <bgColor indexed="64"/>
      </patternFill>
    </fill>
    <fill>
      <patternFill patternType="solid">
        <fgColor theme="0" tint="-0.14999847407452621"/>
        <bgColor indexed="64"/>
      </patternFill>
    </fill>
  </fills>
  <borders count="8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right/>
      <top/>
      <bottom style="medium">
        <color indexed="64"/>
      </bottom>
      <diagonal/>
    </border>
    <border>
      <left/>
      <right/>
      <top style="thin">
        <color indexed="64"/>
      </top>
      <bottom/>
      <diagonal/>
    </border>
    <border>
      <left style="medium">
        <color indexed="64"/>
      </left>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rgb="FF444744"/>
      </left>
      <right style="medium">
        <color theme="0"/>
      </right>
      <top style="medium">
        <color rgb="FF444744"/>
      </top>
      <bottom/>
      <diagonal/>
    </border>
    <border>
      <left style="medium">
        <color theme="0"/>
      </left>
      <right style="medium">
        <color theme="0"/>
      </right>
      <top style="medium">
        <color rgb="FF444744"/>
      </top>
      <bottom/>
      <diagonal/>
    </border>
    <border>
      <left style="medium">
        <color theme="0"/>
      </left>
      <right style="medium">
        <color rgb="FF444744"/>
      </right>
      <top style="medium">
        <color rgb="FF444744"/>
      </top>
      <bottom/>
      <diagonal/>
    </border>
    <border>
      <left style="medium">
        <color indexed="64"/>
      </left>
      <right style="medium">
        <color theme="0"/>
      </right>
      <top style="medium">
        <color indexed="64"/>
      </top>
      <bottom/>
      <diagonal/>
    </border>
    <border>
      <left style="medium">
        <color theme="0"/>
      </left>
      <right style="medium">
        <color theme="0"/>
      </right>
      <top style="medium">
        <color indexed="64"/>
      </top>
      <bottom style="medium">
        <color indexed="64"/>
      </bottom>
      <diagonal/>
    </border>
    <border>
      <left style="medium">
        <color theme="0"/>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medium">
        <color indexed="64"/>
      </bottom>
      <diagonal/>
    </border>
  </borders>
  <cellStyleXfs count="48">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5" fillId="3" borderId="0" applyNumberFormat="0" applyBorder="0" applyAlignment="0" applyProtection="0"/>
    <xf numFmtId="0" fontId="16" fillId="20" borderId="1" applyNumberFormat="0" applyAlignment="0" applyProtection="0"/>
    <xf numFmtId="0" fontId="17" fillId="21" borderId="2" applyNumberFormat="0" applyAlignment="0" applyProtection="0"/>
    <xf numFmtId="0" fontId="18" fillId="0" borderId="0" applyNumberFormat="0" applyFill="0" applyBorder="0" applyAlignment="0" applyProtection="0"/>
    <xf numFmtId="0" fontId="19" fillId="4" borderId="0" applyNumberFormat="0" applyBorder="0" applyAlignment="0" applyProtection="0"/>
    <xf numFmtId="0" fontId="20" fillId="0" borderId="3" applyNumberFormat="0" applyFill="0" applyAlignment="0" applyProtection="0"/>
    <xf numFmtId="0" fontId="21" fillId="0" borderId="4" applyNumberFormat="0" applyFill="0" applyAlignment="0" applyProtection="0"/>
    <xf numFmtId="0" fontId="22" fillId="0" borderId="5" applyNumberFormat="0" applyFill="0" applyAlignment="0" applyProtection="0"/>
    <xf numFmtId="0" fontId="22" fillId="0" borderId="0" applyNumberFormat="0" applyFill="0" applyBorder="0" applyAlignment="0" applyProtection="0"/>
    <xf numFmtId="0" fontId="23" fillId="7" borderId="1" applyNumberFormat="0" applyAlignment="0" applyProtection="0"/>
    <xf numFmtId="0" fontId="24" fillId="0" borderId="6" applyNumberFormat="0" applyFill="0" applyAlignment="0" applyProtection="0"/>
    <xf numFmtId="0" fontId="25" fillId="22" borderId="0" applyNumberFormat="0" applyBorder="0" applyAlignment="0" applyProtection="0"/>
    <xf numFmtId="0" fontId="3" fillId="23" borderId="7" applyNumberFormat="0" applyFont="0" applyAlignment="0" applyProtection="0"/>
    <xf numFmtId="0" fontId="26" fillId="20" borderId="8" applyNumberFormat="0" applyAlignment="0" applyProtection="0"/>
    <xf numFmtId="0" fontId="27" fillId="0" borderId="0" applyNumberFormat="0" applyFill="0" applyBorder="0" applyAlignment="0" applyProtection="0"/>
    <xf numFmtId="0" fontId="28" fillId="0" borderId="9" applyNumberFormat="0" applyFill="0" applyAlignment="0" applyProtection="0"/>
    <xf numFmtId="0" fontId="29" fillId="0" borderId="0" applyNumberFormat="0" applyFill="0" applyBorder="0" applyAlignment="0" applyProtection="0"/>
    <xf numFmtId="0" fontId="2" fillId="0" borderId="0"/>
    <xf numFmtId="0" fontId="39" fillId="33" borderId="0"/>
    <xf numFmtId="0" fontId="3" fillId="0" borderId="0"/>
    <xf numFmtId="164" fontId="8" fillId="36" borderId="59">
      <alignment horizontal="center" vertical="center"/>
    </xf>
    <xf numFmtId="0" fontId="1" fillId="0" borderId="0"/>
    <xf numFmtId="43" fontId="3" fillId="0" borderId="0" applyFont="0" applyFill="0" applyBorder="0" applyAlignment="0" applyProtection="0"/>
  </cellStyleXfs>
  <cellXfs count="397">
    <xf numFmtId="0" fontId="0" fillId="0" borderId="0" xfId="0"/>
    <xf numFmtId="0" fontId="8" fillId="0" borderId="0" xfId="0" applyFont="1"/>
    <xf numFmtId="0" fontId="8" fillId="0" borderId="0" xfId="0" applyFont="1" applyAlignment="1">
      <alignment horizontal="center"/>
    </xf>
    <xf numFmtId="0" fontId="5" fillId="0" borderId="0" xfId="0" applyFont="1" applyAlignment="1">
      <alignment vertical="center" wrapText="1"/>
    </xf>
    <xf numFmtId="0" fontId="9" fillId="0" borderId="17" xfId="0" applyFont="1" applyBorder="1" applyAlignment="1">
      <alignment horizontal="center" vertical="center"/>
    </xf>
    <xf numFmtId="0" fontId="9" fillId="0" borderId="19" xfId="0" applyFont="1" applyBorder="1" applyAlignment="1">
      <alignment horizontal="center" vertical="center"/>
    </xf>
    <xf numFmtId="0" fontId="10" fillId="24" borderId="20" xfId="0" applyFont="1" applyFill="1" applyBorder="1" applyAlignment="1">
      <alignment horizontal="center" vertical="center" wrapText="1"/>
    </xf>
    <xf numFmtId="0" fontId="10" fillId="24" borderId="21" xfId="0" applyFont="1" applyFill="1" applyBorder="1" applyAlignment="1">
      <alignment horizontal="center" vertical="center" wrapText="1"/>
    </xf>
    <xf numFmtId="0" fontId="10" fillId="24" borderId="22" xfId="0" applyFont="1" applyFill="1" applyBorder="1" applyAlignment="1">
      <alignment horizontal="center" vertical="center" wrapText="1"/>
    </xf>
    <xf numFmtId="0" fontId="10" fillId="24" borderId="23" xfId="0" applyFont="1" applyFill="1" applyBorder="1" applyAlignment="1">
      <alignment horizontal="center" vertical="center" wrapText="1"/>
    </xf>
    <xf numFmtId="0" fontId="5" fillId="0" borderId="0" xfId="0" applyFont="1" applyAlignment="1">
      <alignment vertical="center"/>
    </xf>
    <xf numFmtId="0" fontId="6" fillId="0" borderId="0" xfId="0" applyFont="1" applyAlignment="1">
      <alignment horizontal="center" vertical="center"/>
    </xf>
    <xf numFmtId="0" fontId="5" fillId="0" borderId="0" xfId="0" applyFont="1"/>
    <xf numFmtId="0" fontId="5" fillId="0" borderId="33" xfId="0" applyFont="1" applyBorder="1" applyAlignment="1">
      <alignment horizontal="center" vertical="center"/>
    </xf>
    <xf numFmtId="0" fontId="8" fillId="0" borderId="0" xfId="0" applyFont="1" applyAlignment="1">
      <alignment horizontal="center" vertical="center"/>
    </xf>
    <xf numFmtId="0" fontId="5" fillId="0" borderId="33" xfId="0" applyFont="1" applyBorder="1" applyAlignment="1">
      <alignment horizontal="center" vertical="center" wrapText="1"/>
    </xf>
    <xf numFmtId="0" fontId="8" fillId="0" borderId="0" xfId="0" applyFont="1" applyAlignment="1">
      <alignment vertical="center"/>
    </xf>
    <xf numFmtId="0" fontId="34" fillId="0" borderId="0" xfId="0" applyFont="1"/>
    <xf numFmtId="0" fontId="5" fillId="0" borderId="17" xfId="0" applyFont="1" applyBorder="1" applyAlignment="1">
      <alignment horizontal="center" vertical="center" wrapText="1"/>
    </xf>
    <xf numFmtId="0" fontId="5" fillId="0" borderId="19" xfId="0" applyFont="1" applyBorder="1" applyAlignment="1">
      <alignment horizontal="center" vertical="center"/>
    </xf>
    <xf numFmtId="0" fontId="5" fillId="0" borderId="17" xfId="0" applyFont="1" applyBorder="1" applyAlignment="1">
      <alignment horizontal="center" vertical="center"/>
    </xf>
    <xf numFmtId="0" fontId="5" fillId="0" borderId="47" xfId="0" applyFont="1" applyBorder="1" applyAlignment="1">
      <alignment vertical="center" wrapText="1"/>
    </xf>
    <xf numFmtId="0" fontId="5" fillId="0" borderId="33" xfId="0" applyFont="1" applyBorder="1" applyAlignment="1">
      <alignment vertical="center" wrapText="1"/>
    </xf>
    <xf numFmtId="0" fontId="5" fillId="0" borderId="35" xfId="0" applyFont="1" applyBorder="1" applyAlignment="1">
      <alignment vertical="center" wrapText="1"/>
    </xf>
    <xf numFmtId="0" fontId="5" fillId="0" borderId="47" xfId="0" applyFont="1" applyBorder="1" applyAlignment="1">
      <alignment horizontal="center" vertical="center"/>
    </xf>
    <xf numFmtId="0" fontId="5" fillId="0" borderId="47" xfId="0" applyFont="1" applyBorder="1" applyAlignment="1">
      <alignment horizontal="center" vertical="center" wrapText="1"/>
    </xf>
    <xf numFmtId="0" fontId="9" fillId="0" borderId="18" xfId="0" applyNumberFormat="1" applyFont="1" applyBorder="1" applyAlignment="1">
      <alignment horizontal="left" vertical="center" wrapText="1"/>
    </xf>
    <xf numFmtId="0" fontId="6" fillId="0" borderId="18" xfId="0" applyFont="1" applyBorder="1" applyAlignment="1">
      <alignment horizontal="left" vertical="center"/>
    </xf>
    <xf numFmtId="0" fontId="9" fillId="25" borderId="12" xfId="0" applyNumberFormat="1" applyFont="1" applyFill="1" applyBorder="1" applyAlignment="1">
      <alignment horizontal="center" vertical="center" wrapText="1"/>
    </xf>
    <xf numFmtId="0" fontId="4" fillId="0" borderId="12" xfId="0" applyNumberFormat="1" applyFont="1" applyBorder="1" applyAlignment="1">
      <alignment horizontal="left" vertical="center"/>
    </xf>
    <xf numFmtId="0" fontId="3" fillId="0" borderId="0" xfId="0" applyFont="1" applyAlignment="1">
      <alignment vertical="center"/>
    </xf>
    <xf numFmtId="0" fontId="9" fillId="30" borderId="10" xfId="0" applyFont="1" applyFill="1" applyBorder="1" applyAlignment="1">
      <alignment wrapText="1"/>
    </xf>
    <xf numFmtId="0" fontId="0" fillId="30" borderId="12" xfId="0" applyFill="1" applyBorder="1" applyAlignment="1">
      <alignment wrapText="1"/>
    </xf>
    <xf numFmtId="0" fontId="0" fillId="30" borderId="12" xfId="0" applyFill="1" applyBorder="1"/>
    <xf numFmtId="0" fontId="4" fillId="0" borderId="0" xfId="0" applyNumberFormat="1" applyFont="1" applyFill="1" applyBorder="1" applyAlignment="1">
      <alignment horizontal="center" vertical="center" wrapText="1"/>
    </xf>
    <xf numFmtId="0" fontId="9" fillId="25" borderId="26" xfId="0" applyNumberFormat="1" applyFont="1" applyFill="1" applyBorder="1" applyAlignment="1">
      <alignment horizontal="center" vertical="center" wrapText="1"/>
    </xf>
    <xf numFmtId="0" fontId="9" fillId="25" borderId="39" xfId="0" applyNumberFormat="1" applyFont="1" applyFill="1" applyBorder="1" applyAlignment="1">
      <alignment horizontal="center" vertical="center" wrapText="1"/>
    </xf>
    <xf numFmtId="0" fontId="36" fillId="30" borderId="12" xfId="0" applyFont="1" applyFill="1" applyBorder="1" applyAlignment="1">
      <alignment horizontal="center" vertical="top" wrapText="1"/>
    </xf>
    <xf numFmtId="15" fontId="36" fillId="30" borderId="12" xfId="0" applyNumberFormat="1" applyFont="1" applyFill="1" applyBorder="1" applyAlignment="1">
      <alignment vertical="top" wrapText="1"/>
    </xf>
    <xf numFmtId="0" fontId="36" fillId="30" borderId="12" xfId="0" applyFont="1" applyFill="1" applyBorder="1" applyAlignment="1">
      <alignment vertical="top" wrapText="1"/>
    </xf>
    <xf numFmtId="0" fontId="6" fillId="0" borderId="0" xfId="0" applyFont="1" applyBorder="1" applyAlignment="1">
      <alignment horizontal="left" vertical="center"/>
    </xf>
    <xf numFmtId="0" fontId="9" fillId="0" borderId="31" xfId="0" applyNumberFormat="1" applyFont="1" applyBorder="1" applyAlignment="1">
      <alignment horizontal="left" vertical="center" wrapText="1"/>
    </xf>
    <xf numFmtId="0" fontId="5" fillId="0" borderId="12" xfId="0" applyFont="1" applyBorder="1" applyAlignment="1">
      <alignment horizontal="left" vertical="center"/>
    </xf>
    <xf numFmtId="0" fontId="9" fillId="25" borderId="12" xfId="0" applyFont="1" applyFill="1" applyBorder="1" applyAlignment="1">
      <alignment horizontal="center" vertical="center" wrapText="1"/>
    </xf>
    <xf numFmtId="0" fontId="9" fillId="25" borderId="12" xfId="0" applyNumberFormat="1" applyFont="1" applyFill="1" applyBorder="1" applyAlignment="1">
      <alignment horizontal="center" vertical="center" wrapText="1"/>
    </xf>
    <xf numFmtId="0" fontId="6" fillId="0" borderId="53" xfId="0" applyFont="1" applyBorder="1" applyAlignment="1">
      <alignment horizontal="left" vertical="center"/>
    </xf>
    <xf numFmtId="0" fontId="0" fillId="0" borderId="0" xfId="0" applyBorder="1" applyAlignment="1">
      <alignment horizontal="center" vertical="center" wrapText="1"/>
    </xf>
    <xf numFmtId="0" fontId="0" fillId="0" borderId="0" xfId="0" applyBorder="1" applyAlignment="1">
      <alignment horizontal="left" vertical="center"/>
    </xf>
    <xf numFmtId="0" fontId="9" fillId="25" borderId="12" xfId="0" applyFont="1" applyFill="1" applyBorder="1" applyAlignment="1">
      <alignment horizontal="center" vertical="center"/>
    </xf>
    <xf numFmtId="0" fontId="5" fillId="0" borderId="12" xfId="0" applyFont="1" applyBorder="1" applyAlignment="1">
      <alignment vertical="center"/>
    </xf>
    <xf numFmtId="0" fontId="5" fillId="0" borderId="12" xfId="0" applyFont="1" applyBorder="1" applyAlignment="1">
      <alignment horizontal="center" vertical="center"/>
    </xf>
    <xf numFmtId="0" fontId="5" fillId="0" borderId="55" xfId="0" applyFont="1" applyBorder="1" applyAlignment="1">
      <alignment horizontal="center" vertical="center" wrapText="1"/>
    </xf>
    <xf numFmtId="0" fontId="8" fillId="32" borderId="0" xfId="0" applyFont="1" applyFill="1"/>
    <xf numFmtId="0" fontId="8" fillId="32" borderId="0" xfId="0" applyFont="1" applyFill="1" applyAlignment="1">
      <alignment horizontal="center"/>
    </xf>
    <xf numFmtId="0" fontId="8" fillId="32" borderId="0" xfId="0" applyFont="1" applyFill="1" applyAlignment="1">
      <alignment vertical="center"/>
    </xf>
    <xf numFmtId="0" fontId="4" fillId="32" borderId="0" xfId="0" applyFont="1" applyFill="1" applyAlignment="1"/>
    <xf numFmtId="0" fontId="39" fillId="0" borderId="56" xfId="43" applyFill="1" applyBorder="1"/>
    <xf numFmtId="0" fontId="11" fillId="0" borderId="57" xfId="43" applyFont="1" applyFill="1" applyBorder="1"/>
    <xf numFmtId="0" fontId="39" fillId="0" borderId="58" xfId="43" applyFill="1" applyBorder="1"/>
    <xf numFmtId="0" fontId="39" fillId="0" borderId="0" xfId="43" applyFill="1"/>
    <xf numFmtId="0" fontId="39" fillId="0" borderId="28" xfId="43" applyFill="1" applyBorder="1"/>
    <xf numFmtId="0" fontId="11" fillId="0" borderId="0" xfId="43" applyFont="1" applyFill="1" applyBorder="1"/>
    <xf numFmtId="0" fontId="40" fillId="0" borderId="0" xfId="43" applyFont="1" applyFill="1" applyBorder="1"/>
    <xf numFmtId="0" fontId="41" fillId="0" borderId="0" xfId="43" applyFont="1" applyFill="1" applyBorder="1" applyAlignment="1">
      <alignment horizontal="center"/>
    </xf>
    <xf numFmtId="0" fontId="4" fillId="0" borderId="21" xfId="43" applyFont="1" applyFill="1" applyBorder="1" applyAlignment="1">
      <alignment vertical="center"/>
    </xf>
    <xf numFmtId="0" fontId="39" fillId="0" borderId="59" xfId="43" applyFill="1" applyBorder="1"/>
    <xf numFmtId="0" fontId="39" fillId="0" borderId="0" xfId="43" applyFill="1" applyBorder="1"/>
    <xf numFmtId="0" fontId="42" fillId="0" borderId="0" xfId="43" applyFont="1" applyFill="1" applyBorder="1" applyAlignment="1">
      <alignment horizontal="center"/>
    </xf>
    <xf numFmtId="0" fontId="43" fillId="0" borderId="0" xfId="43" applyFont="1" applyFill="1" applyBorder="1" applyAlignment="1">
      <alignment horizontal="center"/>
    </xf>
    <xf numFmtId="0" fontId="12" fillId="0" borderId="0" xfId="43" applyFont="1" applyFill="1" applyBorder="1" applyAlignment="1">
      <alignment horizontal="center"/>
    </xf>
    <xf numFmtId="0" fontId="8" fillId="0" borderId="22" xfId="43" applyFont="1" applyFill="1" applyBorder="1" applyAlignment="1">
      <alignment horizontal="left" vertical="center"/>
    </xf>
    <xf numFmtId="0" fontId="8" fillId="0" borderId="22" xfId="43" applyFont="1" applyFill="1" applyBorder="1" applyAlignment="1">
      <alignment horizontal="center" vertical="center"/>
    </xf>
    <xf numFmtId="0" fontId="8" fillId="0" borderId="23" xfId="43" applyFont="1" applyFill="1" applyBorder="1" applyAlignment="1">
      <alignment horizontal="center" vertical="center"/>
    </xf>
    <xf numFmtId="0" fontId="4" fillId="0" borderId="0" xfId="43" applyFont="1" applyFill="1" applyBorder="1" applyAlignment="1">
      <alignment horizontal="center" vertical="center"/>
    </xf>
    <xf numFmtId="0" fontId="6" fillId="0" borderId="12" xfId="43" applyFont="1" applyFill="1" applyBorder="1" applyAlignment="1">
      <alignment horizontal="left" vertical="top" wrapText="1"/>
    </xf>
    <xf numFmtId="0" fontId="3" fillId="0" borderId="0" xfId="43" applyFont="1" applyFill="1" applyBorder="1" applyAlignment="1">
      <alignment horizontal="center" vertical="center" wrapText="1"/>
    </xf>
    <xf numFmtId="0" fontId="4" fillId="0" borderId="47" xfId="43" applyFont="1" applyFill="1" applyBorder="1" applyAlignment="1">
      <alignment horizontal="center" vertical="center"/>
    </xf>
    <xf numFmtId="0" fontId="47" fillId="0" borderId="0" xfId="43" applyFont="1" applyFill="1"/>
    <xf numFmtId="0" fontId="4" fillId="0" borderId="33" xfId="43" applyFont="1" applyFill="1" applyBorder="1" applyAlignment="1">
      <alignment horizontal="center" vertical="center"/>
    </xf>
    <xf numFmtId="0" fontId="4" fillId="0" borderId="68" xfId="43" applyFont="1" applyFill="1" applyBorder="1" applyAlignment="1">
      <alignment horizontal="center" vertical="center"/>
    </xf>
    <xf numFmtId="0" fontId="4" fillId="0" borderId="69" xfId="43" applyFont="1" applyFill="1" applyBorder="1" applyAlignment="1">
      <alignment horizontal="center" vertical="center"/>
    </xf>
    <xf numFmtId="0" fontId="4" fillId="0" borderId="36" xfId="43" applyFont="1" applyFill="1" applyBorder="1" applyAlignment="1">
      <alignment horizontal="center" vertical="center"/>
    </xf>
    <xf numFmtId="0" fontId="4" fillId="0" borderId="35" xfId="43" applyFont="1" applyFill="1" applyBorder="1" applyAlignment="1">
      <alignment horizontal="center" vertical="center"/>
    </xf>
    <xf numFmtId="0" fontId="4" fillId="0" borderId="21" xfId="43" applyFont="1" applyFill="1" applyBorder="1" applyAlignment="1">
      <alignment horizontal="center" vertical="center" wrapText="1"/>
    </xf>
    <xf numFmtId="0" fontId="4" fillId="0" borderId="70" xfId="43" applyFont="1" applyFill="1" applyBorder="1" applyAlignment="1">
      <alignment horizontal="center" vertical="center" wrapText="1"/>
    </xf>
    <xf numFmtId="0" fontId="4" fillId="0" borderId="57" xfId="43" applyFont="1" applyFill="1" applyBorder="1" applyAlignment="1">
      <alignment horizontal="center" vertical="center" wrapText="1"/>
    </xf>
    <xf numFmtId="0" fontId="4" fillId="0" borderId="58" xfId="43" applyFont="1" applyFill="1" applyBorder="1" applyAlignment="1">
      <alignment horizontal="center" vertical="center" wrapText="1"/>
    </xf>
    <xf numFmtId="0" fontId="6" fillId="0" borderId="26" xfId="43" applyFont="1" applyFill="1" applyBorder="1" applyAlignment="1">
      <alignment horizontal="left" vertical="top"/>
    </xf>
    <xf numFmtId="0" fontId="8" fillId="0" borderId="26" xfId="43" applyFont="1" applyFill="1" applyBorder="1" applyAlignment="1">
      <alignment horizontal="center" vertical="top" wrapText="1"/>
    </xf>
    <xf numFmtId="0" fontId="8" fillId="0" borderId="48" xfId="43" applyFont="1" applyFill="1" applyBorder="1" applyAlignment="1">
      <alignment horizontal="center" vertical="top" wrapText="1"/>
    </xf>
    <xf numFmtId="0" fontId="8" fillId="0" borderId="45" xfId="43" applyFont="1" applyFill="1" applyBorder="1" applyAlignment="1">
      <alignment horizontal="center" vertical="top" wrapText="1"/>
    </xf>
    <xf numFmtId="0" fontId="8" fillId="0" borderId="16" xfId="43" applyFont="1" applyFill="1" applyBorder="1" applyAlignment="1">
      <alignment horizontal="left" vertical="top" wrapText="1"/>
    </xf>
    <xf numFmtId="0" fontId="6" fillId="0" borderId="12" xfId="43" applyFont="1" applyFill="1" applyBorder="1" applyAlignment="1">
      <alignment horizontal="left" vertical="top"/>
    </xf>
    <xf numFmtId="0" fontId="8" fillId="0" borderId="12" xfId="43" applyFont="1" applyFill="1" applyBorder="1" applyAlignment="1">
      <alignment horizontal="center" vertical="top" wrapText="1"/>
    </xf>
    <xf numFmtId="0" fontId="8" fillId="0" borderId="13" xfId="43" applyFont="1" applyFill="1" applyBorder="1" applyAlignment="1">
      <alignment horizontal="center" vertical="top" wrapText="1"/>
    </xf>
    <xf numFmtId="0" fontId="8" fillId="0" borderId="25" xfId="43" applyFont="1" applyFill="1" applyBorder="1" applyAlignment="1">
      <alignment horizontal="left" vertical="top" wrapText="1"/>
    </xf>
    <xf numFmtId="0" fontId="8" fillId="0" borderId="27" xfId="43" applyFont="1" applyFill="1" applyBorder="1" applyAlignment="1">
      <alignment horizontal="center" vertical="top" wrapText="1"/>
    </xf>
    <xf numFmtId="0" fontId="8" fillId="0" borderId="72" xfId="43" applyFont="1" applyFill="1" applyBorder="1" applyAlignment="1">
      <alignment horizontal="left" vertical="top" wrapText="1"/>
    </xf>
    <xf numFmtId="0" fontId="8" fillId="0" borderId="34" xfId="43" applyFont="1" applyFill="1" applyBorder="1" applyAlignment="1">
      <alignment horizontal="center" vertical="top" wrapText="1"/>
    </xf>
    <xf numFmtId="0" fontId="8" fillId="0" borderId="53" xfId="43" applyFont="1" applyFill="1" applyBorder="1" applyAlignment="1">
      <alignment horizontal="left" vertical="top" wrapText="1"/>
    </xf>
    <xf numFmtId="0" fontId="8" fillId="0" borderId="37" xfId="43" applyFont="1" applyFill="1" applyBorder="1" applyAlignment="1">
      <alignment vertical="top" wrapText="1"/>
    </xf>
    <xf numFmtId="0" fontId="8" fillId="0" borderId="38" xfId="43" applyFont="1" applyFill="1" applyBorder="1" applyAlignment="1">
      <alignment horizontal="center" vertical="top" wrapText="1"/>
    </xf>
    <xf numFmtId="0" fontId="8" fillId="0" borderId="53" xfId="43" applyFont="1" applyFill="1" applyBorder="1" applyAlignment="1">
      <alignment horizontal="center" vertical="top" wrapText="1"/>
    </xf>
    <xf numFmtId="0" fontId="8" fillId="0" borderId="46" xfId="43" applyFont="1" applyFill="1" applyBorder="1" applyAlignment="1">
      <alignment horizontal="center" vertical="top" wrapText="1"/>
    </xf>
    <xf numFmtId="0" fontId="8" fillId="0" borderId="37" xfId="43" applyFont="1" applyFill="1" applyBorder="1" applyAlignment="1">
      <alignment horizontal="left" vertical="top" wrapText="1"/>
    </xf>
    <xf numFmtId="0" fontId="8" fillId="0" borderId="29" xfId="43" applyFont="1" applyFill="1" applyBorder="1" applyAlignment="1">
      <alignment horizontal="center" vertical="top" wrapText="1"/>
    </xf>
    <xf numFmtId="0" fontId="8" fillId="0" borderId="73" xfId="43" applyFont="1" applyFill="1" applyBorder="1" applyAlignment="1">
      <alignment vertical="top" wrapText="1"/>
    </xf>
    <xf numFmtId="0" fontId="8" fillId="0" borderId="30" xfId="43" applyFont="1" applyFill="1" applyBorder="1" applyAlignment="1">
      <alignment horizontal="left" vertical="top" wrapText="1"/>
    </xf>
    <xf numFmtId="0" fontId="4" fillId="0" borderId="57" xfId="43" applyFont="1" applyFill="1" applyBorder="1" applyAlignment="1">
      <alignment vertical="center"/>
    </xf>
    <xf numFmtId="0" fontId="4" fillId="0" borderId="22" xfId="43" applyFont="1" applyFill="1" applyBorder="1" applyAlignment="1">
      <alignment vertical="center"/>
    </xf>
    <xf numFmtId="0" fontId="4" fillId="0" borderId="77" xfId="43" applyFont="1" applyFill="1" applyBorder="1" applyAlignment="1">
      <alignment horizontal="center" vertical="center" wrapText="1"/>
    </xf>
    <xf numFmtId="0" fontId="4" fillId="0" borderId="56" xfId="43" applyFont="1" applyFill="1" applyBorder="1" applyAlignment="1">
      <alignment vertical="center"/>
    </xf>
    <xf numFmtId="0" fontId="4" fillId="0" borderId="74" xfId="43" applyFont="1" applyFill="1" applyBorder="1" applyAlignment="1">
      <alignment vertical="center"/>
    </xf>
    <xf numFmtId="0" fontId="4" fillId="0" borderId="77" xfId="43" applyFont="1" applyFill="1" applyBorder="1" applyAlignment="1">
      <alignment horizontal="center" vertical="center"/>
    </xf>
    <xf numFmtId="0" fontId="6" fillId="0" borderId="15" xfId="43" applyFont="1" applyFill="1" applyBorder="1" applyAlignment="1">
      <alignment horizontal="left" vertical="top"/>
    </xf>
    <xf numFmtId="0" fontId="46" fillId="0" borderId="45" xfId="43" applyFont="1" applyFill="1" applyBorder="1" applyAlignment="1">
      <alignment vertical="top" wrapText="1"/>
    </xf>
    <xf numFmtId="0" fontId="6" fillId="0" borderId="10" xfId="43" applyFont="1" applyFill="1" applyBorder="1" applyAlignment="1">
      <alignment horizontal="left" vertical="top"/>
    </xf>
    <xf numFmtId="0" fontId="46" fillId="0" borderId="26" xfId="43" applyFont="1" applyFill="1" applyBorder="1" applyAlignment="1">
      <alignment horizontal="left" vertical="top" wrapText="1"/>
    </xf>
    <xf numFmtId="0" fontId="46" fillId="0" borderId="12" xfId="43" applyFont="1" applyFill="1" applyBorder="1" applyAlignment="1">
      <alignment vertical="top" wrapText="1"/>
    </xf>
    <xf numFmtId="0" fontId="46" fillId="0" borderId="12" xfId="43" applyFont="1" applyFill="1" applyBorder="1" applyAlignment="1">
      <alignment horizontal="center" vertical="top" wrapText="1"/>
    </xf>
    <xf numFmtId="0" fontId="6" fillId="0" borderId="11" xfId="43" applyFont="1" applyFill="1" applyBorder="1" applyAlignment="1">
      <alignment horizontal="left" vertical="top"/>
    </xf>
    <xf numFmtId="0" fontId="46" fillId="0" borderId="29" xfId="43" applyFont="1" applyFill="1" applyBorder="1" applyAlignment="1">
      <alignment vertical="top" wrapText="1"/>
    </xf>
    <xf numFmtId="0" fontId="6" fillId="0" borderId="0" xfId="43" applyFont="1" applyFill="1" applyBorder="1" applyAlignment="1">
      <alignment horizontal="left" vertical="top"/>
    </xf>
    <xf numFmtId="0" fontId="46" fillId="0" borderId="0" xfId="43" applyFont="1" applyFill="1" applyBorder="1" applyAlignment="1">
      <alignment horizontal="center" vertical="top" wrapText="1"/>
    </xf>
    <xf numFmtId="0" fontId="46" fillId="0" borderId="0" xfId="43" applyFont="1" applyFill="1" applyBorder="1" applyAlignment="1">
      <alignment vertical="top" wrapText="1"/>
    </xf>
    <xf numFmtId="0" fontId="46" fillId="0" borderId="0" xfId="43" applyFont="1" applyFill="1" applyBorder="1" applyAlignment="1">
      <alignment horizontal="left" vertical="top" wrapText="1"/>
    </xf>
    <xf numFmtId="0" fontId="39" fillId="0" borderId="54" xfId="43" applyFill="1" applyBorder="1"/>
    <xf numFmtId="0" fontId="11" fillId="0" borderId="52" xfId="43" applyFont="1" applyFill="1" applyBorder="1"/>
    <xf numFmtId="0" fontId="39" fillId="0" borderId="52" xfId="43" applyFill="1" applyBorder="1"/>
    <xf numFmtId="0" fontId="39" fillId="0" borderId="60" xfId="43" applyFill="1" applyBorder="1"/>
    <xf numFmtId="0" fontId="6" fillId="0" borderId="12" xfId="43" applyFont="1" applyFill="1" applyBorder="1" applyAlignment="1" applyProtection="1">
      <alignment horizontal="center" vertical="center"/>
    </xf>
    <xf numFmtId="16" fontId="8" fillId="0" borderId="12" xfId="43" quotePrefix="1" applyNumberFormat="1" applyFont="1" applyFill="1" applyBorder="1" applyAlignment="1">
      <alignment horizontal="center" vertical="top" wrapText="1"/>
    </xf>
    <xf numFmtId="0" fontId="8" fillId="0" borderId="12" xfId="43" quotePrefix="1" applyFont="1" applyFill="1" applyBorder="1" applyAlignment="1">
      <alignment horizontal="center" vertical="top" wrapText="1"/>
    </xf>
    <xf numFmtId="0" fontId="8" fillId="32" borderId="0" xfId="0" applyFont="1" applyFill="1" applyAlignment="1">
      <alignment horizontal="center" vertical="center"/>
    </xf>
    <xf numFmtId="0" fontId="0" fillId="30" borderId="0" xfId="0" applyFill="1" applyAlignment="1"/>
    <xf numFmtId="0" fontId="50" fillId="0" borderId="0" xfId="0" applyFont="1"/>
    <xf numFmtId="0" fontId="5" fillId="30" borderId="0" xfId="0" applyFont="1" applyFill="1"/>
    <xf numFmtId="0" fontId="50" fillId="30" borderId="0" xfId="0" applyFont="1" applyFill="1"/>
    <xf numFmtId="0" fontId="3" fillId="0" borderId="12" xfId="0" applyFont="1" applyBorder="1" applyAlignment="1">
      <alignment horizontal="left" vertical="center"/>
    </xf>
    <xf numFmtId="0" fontId="52" fillId="0" borderId="13" xfId="0" applyFont="1" applyBorder="1" applyAlignment="1">
      <alignment vertical="center" wrapText="1"/>
    </xf>
    <xf numFmtId="0" fontId="52" fillId="0" borderId="12" xfId="0" applyFont="1" applyBorder="1" applyAlignment="1">
      <alignment vertical="center" wrapText="1"/>
    </xf>
    <xf numFmtId="0" fontId="52" fillId="0" borderId="12"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29" xfId="0" applyFont="1" applyBorder="1" applyAlignment="1">
      <alignment horizontal="center" vertical="center" wrapText="1"/>
    </xf>
    <xf numFmtId="0" fontId="51" fillId="0" borderId="40" xfId="0" applyFont="1" applyFill="1" applyBorder="1" applyAlignment="1">
      <alignment horizontal="center" vertical="center" wrapText="1"/>
    </xf>
    <xf numFmtId="0" fontId="8" fillId="0" borderId="0" xfId="0" applyFont="1" applyAlignment="1">
      <alignment wrapText="1"/>
    </xf>
    <xf numFmtId="0" fontId="53" fillId="32" borderId="0" xfId="0" applyFont="1" applyFill="1" applyAlignment="1">
      <alignment vertical="center"/>
    </xf>
    <xf numFmtId="0" fontId="4" fillId="32" borderId="12" xfId="0" applyFont="1" applyFill="1" applyBorder="1" applyAlignment="1">
      <alignment horizontal="center" vertical="center"/>
    </xf>
    <xf numFmtId="0" fontId="4" fillId="32" borderId="27" xfId="0" applyFont="1" applyFill="1" applyBorder="1" applyAlignment="1">
      <alignment horizontal="center" vertical="center"/>
    </xf>
    <xf numFmtId="0" fontId="4" fillId="32" borderId="0" xfId="0" applyFont="1" applyFill="1" applyBorder="1" applyAlignment="1">
      <alignment horizontal="center" vertical="center"/>
    </xf>
    <xf numFmtId="0" fontId="38" fillId="24" borderId="0" xfId="0" applyFont="1" applyFill="1" applyBorder="1" applyAlignment="1">
      <alignment horizontal="center" vertical="center" wrapText="1"/>
    </xf>
    <xf numFmtId="0" fontId="38" fillId="24" borderId="28" xfId="0" applyFont="1" applyFill="1" applyBorder="1" applyAlignment="1">
      <alignment horizontal="center" vertical="center"/>
    </xf>
    <xf numFmtId="0" fontId="38" fillId="28" borderId="37" xfId="0" applyFont="1" applyFill="1" applyBorder="1" applyAlignment="1">
      <alignment horizontal="center" vertical="center" textRotation="90" wrapText="1"/>
    </xf>
    <xf numFmtId="0" fontId="38" fillId="28" borderId="27" xfId="0" applyFont="1" applyFill="1" applyBorder="1" applyAlignment="1">
      <alignment horizontal="center" vertical="center" textRotation="90" wrapText="1"/>
    </xf>
    <xf numFmtId="0" fontId="56" fillId="26" borderId="12" xfId="0" applyFont="1" applyFill="1" applyBorder="1" applyAlignment="1">
      <alignment horizontal="left" vertical="top" wrapText="1"/>
    </xf>
    <xf numFmtId="0" fontId="57" fillId="26" borderId="12" xfId="0" applyFont="1" applyFill="1" applyBorder="1" applyAlignment="1">
      <alignment horizontal="left" vertical="top" wrapText="1"/>
    </xf>
    <xf numFmtId="0" fontId="3" fillId="0" borderId="12" xfId="0" applyFont="1" applyBorder="1" applyAlignment="1">
      <alignment vertical="center"/>
    </xf>
    <xf numFmtId="0" fontId="54" fillId="0" borderId="19" xfId="0" applyFont="1" applyBorder="1" applyAlignment="1">
      <alignment horizontal="center" vertical="center" wrapText="1"/>
    </xf>
    <xf numFmtId="0" fontId="54" fillId="0" borderId="17" xfId="0" applyFont="1" applyBorder="1" applyAlignment="1">
      <alignment horizontal="center" vertical="center" wrapText="1"/>
    </xf>
    <xf numFmtId="0" fontId="54" fillId="0" borderId="12" xfId="0" applyFont="1" applyBorder="1" applyAlignment="1">
      <alignment horizontal="left" vertical="top" wrapText="1"/>
    </xf>
    <xf numFmtId="0" fontId="8" fillId="0" borderId="40" xfId="0" applyFont="1" applyBorder="1" applyAlignment="1">
      <alignment horizontal="center" vertical="center" wrapText="1"/>
    </xf>
    <xf numFmtId="0" fontId="8" fillId="38" borderId="0" xfId="0" applyFont="1" applyFill="1"/>
    <xf numFmtId="0" fontId="8" fillId="38" borderId="0" xfId="0" applyFont="1" applyFill="1" applyAlignment="1">
      <alignment vertical="center"/>
    </xf>
    <xf numFmtId="0" fontId="8" fillId="38" borderId="0" xfId="0" applyFont="1" applyFill="1" applyAlignment="1">
      <alignment horizontal="center" vertical="center"/>
    </xf>
    <xf numFmtId="0" fontId="8" fillId="38" borderId="0" xfId="0" applyFont="1" applyFill="1" applyAlignment="1">
      <alignment horizontal="center"/>
    </xf>
    <xf numFmtId="0" fontId="8" fillId="38" borderId="0" xfId="0" applyFont="1" applyFill="1" applyAlignment="1">
      <alignment horizontal="left" vertical="top"/>
    </xf>
    <xf numFmtId="0" fontId="52" fillId="0" borderId="12" xfId="0" applyFont="1" applyBorder="1" applyAlignment="1">
      <alignment horizontal="left" vertical="top" wrapText="1"/>
    </xf>
    <xf numFmtId="0" fontId="8" fillId="0" borderId="0" xfId="0" applyFont="1" applyAlignment="1">
      <alignment horizontal="left" vertical="top"/>
    </xf>
    <xf numFmtId="0" fontId="8" fillId="32" borderId="0" xfId="0" applyFont="1" applyFill="1" applyAlignment="1">
      <alignment horizontal="left" vertical="top"/>
    </xf>
    <xf numFmtId="0" fontId="56" fillId="38" borderId="26" xfId="0" applyFont="1" applyFill="1" applyBorder="1" applyAlignment="1">
      <alignment horizontal="left" vertical="top" wrapText="1"/>
    </xf>
    <xf numFmtId="0" fontId="56" fillId="0" borderId="12" xfId="0" applyFont="1" applyFill="1" applyBorder="1" applyAlignment="1">
      <alignment horizontal="left" vertical="top" wrapText="1"/>
    </xf>
    <xf numFmtId="0" fontId="56" fillId="0" borderId="12" xfId="0" applyFont="1" applyFill="1" applyBorder="1" applyAlignment="1">
      <alignment vertical="top" wrapText="1"/>
    </xf>
    <xf numFmtId="0" fontId="56" fillId="26" borderId="26" xfId="0" applyFont="1" applyFill="1" applyBorder="1" applyAlignment="1">
      <alignment horizontal="left" vertical="top" wrapText="1"/>
    </xf>
    <xf numFmtId="0" fontId="8" fillId="0" borderId="12" xfId="0" applyFont="1" applyBorder="1" applyAlignment="1">
      <alignment horizontal="center" vertical="center" wrapText="1"/>
    </xf>
    <xf numFmtId="0" fontId="51" fillId="0" borderId="12" xfId="0" applyFont="1" applyFill="1" applyBorder="1" applyAlignment="1">
      <alignment horizontal="center" vertical="center" wrapText="1"/>
    </xf>
    <xf numFmtId="0" fontId="56" fillId="0" borderId="12" xfId="0" applyFont="1" applyBorder="1" applyAlignment="1">
      <alignment horizontal="left" vertical="top" wrapText="1"/>
    </xf>
    <xf numFmtId="0" fontId="31" fillId="0" borderId="41" xfId="0" applyNumberFormat="1" applyFont="1" applyBorder="1" applyAlignment="1">
      <alignment horizontal="center" vertical="top" wrapText="1"/>
    </xf>
    <xf numFmtId="0" fontId="32" fillId="0" borderId="42" xfId="0" applyFont="1" applyBorder="1" applyAlignment="1">
      <alignment vertical="top"/>
    </xf>
    <xf numFmtId="0" fontId="32" fillId="0" borderId="43" xfId="0" applyFont="1" applyBorder="1" applyAlignment="1">
      <alignment vertical="top"/>
    </xf>
    <xf numFmtId="0" fontId="9" fillId="0" borderId="17" xfId="0" applyNumberFormat="1" applyFont="1" applyBorder="1" applyAlignment="1">
      <alignment horizontal="left" vertical="center" wrapText="1"/>
    </xf>
    <xf numFmtId="0" fontId="9" fillId="0" borderId="18" xfId="0" applyNumberFormat="1" applyFont="1" applyBorder="1" applyAlignment="1">
      <alignment horizontal="left" vertical="center" wrapText="1"/>
    </xf>
    <xf numFmtId="0" fontId="9" fillId="0" borderId="13" xfId="0" applyNumberFormat="1" applyFont="1" applyBorder="1" applyAlignment="1">
      <alignment horizontal="left" vertical="center" wrapText="1"/>
    </xf>
    <xf numFmtId="0" fontId="6" fillId="0" borderId="12" xfId="0" applyFont="1" applyBorder="1" applyAlignment="1">
      <alignment horizontal="left" vertical="center" wrapText="1"/>
    </xf>
    <xf numFmtId="0" fontId="6" fillId="0" borderId="25" xfId="0" applyFont="1" applyBorder="1" applyAlignment="1">
      <alignment horizontal="left" vertical="center" wrapText="1"/>
    </xf>
    <xf numFmtId="15" fontId="6" fillId="0" borderId="12" xfId="0" applyNumberFormat="1" applyFont="1" applyBorder="1" applyAlignment="1">
      <alignment horizontal="left" vertical="center"/>
    </xf>
    <xf numFmtId="0" fontId="6" fillId="0" borderId="12" xfId="0" applyFont="1" applyBorder="1" applyAlignment="1">
      <alignment horizontal="left" vertical="center"/>
    </xf>
    <xf numFmtId="0" fontId="6" fillId="0" borderId="25" xfId="0" applyFont="1" applyBorder="1" applyAlignment="1">
      <alignment horizontal="left" vertical="center"/>
    </xf>
    <xf numFmtId="0" fontId="6" fillId="0" borderId="14" xfId="0" applyFont="1" applyBorder="1" applyAlignment="1">
      <alignment horizontal="left" vertical="center"/>
    </xf>
    <xf numFmtId="0" fontId="6" fillId="0" borderId="18" xfId="0" applyFont="1" applyBorder="1" applyAlignment="1">
      <alignment horizontal="left" vertical="center"/>
    </xf>
    <xf numFmtId="0" fontId="6" fillId="0" borderId="34" xfId="0" applyFont="1" applyBorder="1" applyAlignment="1">
      <alignment horizontal="left" vertical="center"/>
    </xf>
    <xf numFmtId="0" fontId="5" fillId="0" borderId="14" xfId="0" applyFont="1" applyBorder="1" applyAlignment="1">
      <alignment horizontal="left" vertical="center"/>
    </xf>
    <xf numFmtId="0" fontId="0" fillId="0" borderId="13" xfId="0" applyBorder="1" applyAlignment="1">
      <alignment horizontal="left" vertical="center"/>
    </xf>
    <xf numFmtId="0" fontId="9" fillId="25" borderId="14" xfId="0" applyFont="1" applyFill="1" applyBorder="1" applyAlignment="1">
      <alignment horizontal="center" vertical="center" wrapText="1"/>
    </xf>
    <xf numFmtId="0" fontId="0" fillId="0" borderId="13" xfId="0" applyBorder="1" applyAlignment="1">
      <alignment horizontal="center" vertical="center" wrapText="1"/>
    </xf>
    <xf numFmtId="0" fontId="4" fillId="27" borderId="14" xfId="0" applyNumberFormat="1" applyFont="1" applyFill="1" applyBorder="1" applyAlignment="1">
      <alignment horizontal="center" vertical="center" wrapText="1"/>
    </xf>
    <xf numFmtId="0" fontId="0" fillId="0" borderId="18" xfId="0" applyBorder="1" applyAlignment="1">
      <alignment horizontal="center" vertical="center" wrapText="1"/>
    </xf>
    <xf numFmtId="0" fontId="3" fillId="0" borderId="14" xfId="0" applyFont="1" applyBorder="1" applyAlignment="1">
      <alignment horizontal="left" vertical="center"/>
    </xf>
    <xf numFmtId="0" fontId="36" fillId="30" borderId="12" xfId="0" applyFont="1" applyFill="1" applyBorder="1" applyAlignment="1">
      <alignment vertical="top" wrapText="1"/>
    </xf>
    <xf numFmtId="0" fontId="0" fillId="0" borderId="12" xfId="0" applyBorder="1" applyAlignment="1">
      <alignment wrapText="1"/>
    </xf>
    <xf numFmtId="0" fontId="9" fillId="25" borderId="12" xfId="0" applyNumberFormat="1" applyFont="1" applyFill="1" applyBorder="1" applyAlignment="1">
      <alignment horizontal="center" vertical="center" wrapText="1"/>
    </xf>
    <xf numFmtId="0" fontId="0" fillId="0" borderId="12" xfId="0" applyBorder="1" applyAlignment="1">
      <alignment vertical="center" wrapText="1"/>
    </xf>
    <xf numFmtId="0" fontId="35" fillId="31" borderId="12" xfId="0" applyFont="1" applyFill="1" applyBorder="1" applyAlignment="1">
      <alignment horizontal="center" vertical="center" wrapText="1"/>
    </xf>
    <xf numFmtId="0" fontId="0" fillId="31" borderId="12" xfId="0" applyFill="1" applyBorder="1" applyAlignment="1">
      <alignment vertical="center" wrapText="1"/>
    </xf>
    <xf numFmtId="0" fontId="7" fillId="31" borderId="14" xfId="0" applyFont="1" applyFill="1" applyBorder="1" applyAlignment="1">
      <alignment horizontal="center" vertical="center" wrapText="1"/>
    </xf>
    <xf numFmtId="0" fontId="0" fillId="31" borderId="18" xfId="0" applyFill="1" applyBorder="1" applyAlignment="1">
      <alignment horizontal="center" vertical="center" wrapText="1"/>
    </xf>
    <xf numFmtId="0" fontId="0" fillId="31" borderId="13" xfId="0" applyFill="1" applyBorder="1" applyAlignment="1">
      <alignment horizontal="center" vertical="center" wrapText="1"/>
    </xf>
    <xf numFmtId="0" fontId="9" fillId="25" borderId="14" xfId="0" applyNumberFormat="1" applyFont="1" applyFill="1" applyBorder="1" applyAlignment="1">
      <alignment horizontal="center" vertical="center" wrapText="1"/>
    </xf>
    <xf numFmtId="0" fontId="0" fillId="30" borderId="14" xfId="0" applyFill="1" applyBorder="1" applyAlignment="1">
      <alignment wrapText="1"/>
    </xf>
    <xf numFmtId="0" fontId="0" fillId="30" borderId="18" xfId="0" applyFill="1" applyBorder="1" applyAlignment="1">
      <alignment wrapText="1"/>
    </xf>
    <xf numFmtId="0" fontId="0" fillId="30" borderId="13" xfId="0" applyFill="1" applyBorder="1" applyAlignment="1">
      <alignment wrapText="1"/>
    </xf>
    <xf numFmtId="0" fontId="0" fillId="0" borderId="13" xfId="0" applyBorder="1" applyAlignment="1">
      <alignment wrapText="1"/>
    </xf>
    <xf numFmtId="0" fontId="9" fillId="27" borderId="14" xfId="0" applyFont="1" applyFill="1" applyBorder="1" applyAlignment="1">
      <alignment horizontal="center" vertical="center" wrapText="1"/>
    </xf>
    <xf numFmtId="0" fontId="9" fillId="27" borderId="18" xfId="0" applyFont="1" applyFill="1" applyBorder="1" applyAlignment="1">
      <alignment horizontal="center" vertical="center"/>
    </xf>
    <xf numFmtId="0" fontId="9" fillId="27" borderId="13" xfId="0" applyFont="1" applyFill="1" applyBorder="1" applyAlignment="1">
      <alignment horizontal="center" vertical="center"/>
    </xf>
    <xf numFmtId="0" fontId="56" fillId="26" borderId="27" xfId="0" applyFont="1" applyFill="1" applyBorder="1" applyAlignment="1">
      <alignment horizontal="left" vertical="top" wrapText="1"/>
    </xf>
    <xf numFmtId="0" fontId="0" fillId="0" borderId="80" xfId="0" applyBorder="1" applyAlignment="1">
      <alignment horizontal="left" vertical="top" wrapText="1"/>
    </xf>
    <xf numFmtId="0" fontId="0" fillId="0" borderId="26" xfId="0" applyBorder="1" applyAlignment="1">
      <alignment horizontal="left" vertical="top" wrapText="1"/>
    </xf>
    <xf numFmtId="0" fontId="8" fillId="0" borderId="24" xfId="0" applyFont="1" applyBorder="1" applyAlignment="1">
      <alignment horizontal="center" vertical="center" wrapText="1"/>
    </xf>
    <xf numFmtId="0" fontId="0" fillId="0" borderId="51" xfId="0" applyBorder="1" applyAlignment="1">
      <alignment horizontal="center" vertical="center" wrapText="1"/>
    </xf>
    <xf numFmtId="0" fontId="0" fillId="0" borderId="79" xfId="0" applyBorder="1" applyAlignment="1">
      <alignment horizontal="center" vertical="center" wrapText="1"/>
    </xf>
    <xf numFmtId="0" fontId="56" fillId="26" borderId="27" xfId="0" applyFont="1" applyFill="1" applyBorder="1" applyAlignment="1">
      <alignment horizontal="center" vertical="center" wrapText="1"/>
    </xf>
    <xf numFmtId="0" fontId="0" fillId="0" borderId="80" xfId="0" applyBorder="1" applyAlignment="1">
      <alignment wrapText="1"/>
    </xf>
    <xf numFmtId="0" fontId="0" fillId="0" borderId="26" xfId="0" applyBorder="1" applyAlignment="1">
      <alignment wrapText="1"/>
    </xf>
    <xf numFmtId="0" fontId="57" fillId="26" borderId="27" xfId="0" applyFont="1" applyFill="1" applyBorder="1" applyAlignment="1">
      <alignment horizontal="center" vertical="center" wrapText="1"/>
    </xf>
    <xf numFmtId="0" fontId="9" fillId="0" borderId="80" xfId="0" applyFont="1" applyBorder="1" applyAlignment="1">
      <alignment wrapText="1"/>
    </xf>
    <xf numFmtId="0" fontId="9" fillId="0" borderId="26" xfId="0" applyFont="1" applyBorder="1" applyAlignment="1">
      <alignment wrapText="1"/>
    </xf>
    <xf numFmtId="0" fontId="57" fillId="26" borderId="27" xfId="0" applyFont="1" applyFill="1" applyBorder="1" applyAlignment="1">
      <alignment horizontal="left" vertical="top" wrapText="1"/>
    </xf>
    <xf numFmtId="0" fontId="56" fillId="26" borderId="80" xfId="0" applyFont="1" applyFill="1" applyBorder="1" applyAlignment="1">
      <alignment horizontal="left" vertical="top" wrapText="1"/>
    </xf>
    <xf numFmtId="0" fontId="56" fillId="0" borderId="12" xfId="0" applyFont="1" applyBorder="1" applyAlignment="1">
      <alignment horizontal="left" vertical="top" wrapText="1"/>
    </xf>
    <xf numFmtId="0" fontId="54" fillId="0" borderId="12" xfId="0" applyFont="1" applyBorder="1" applyAlignment="1">
      <alignment horizontal="left" vertical="top" wrapText="1"/>
    </xf>
    <xf numFmtId="0" fontId="56" fillId="26" borderId="26" xfId="0" applyFont="1" applyFill="1" applyBorder="1" applyAlignment="1">
      <alignment horizontal="left" vertical="top" wrapText="1"/>
    </xf>
    <xf numFmtId="0" fontId="42" fillId="37" borderId="27" xfId="0" applyFont="1" applyFill="1" applyBorder="1" applyAlignment="1">
      <alignment horizontal="center" vertical="center" wrapText="1"/>
    </xf>
    <xf numFmtId="0" fontId="42" fillId="37" borderId="80" xfId="0" applyFont="1" applyFill="1" applyBorder="1" applyAlignment="1">
      <alignment horizontal="center" vertical="center" wrapText="1"/>
    </xf>
    <xf numFmtId="0" fontId="42" fillId="37" borderId="26" xfId="0" applyFont="1" applyFill="1" applyBorder="1" applyAlignment="1">
      <alignment horizontal="center" vertical="center" wrapText="1"/>
    </xf>
    <xf numFmtId="0" fontId="56" fillId="26" borderId="12" xfId="0" applyFont="1" applyFill="1" applyBorder="1" applyAlignment="1">
      <alignment horizontal="left" vertical="top" wrapText="1"/>
    </xf>
    <xf numFmtId="0" fontId="8" fillId="0" borderId="12" xfId="0" applyFont="1" applyBorder="1" applyAlignment="1">
      <alignment horizontal="center" vertical="center" wrapText="1"/>
    </xf>
    <xf numFmtId="0" fontId="57" fillId="26" borderId="12" xfId="0" applyFont="1" applyFill="1" applyBorder="1" applyAlignment="1">
      <alignment horizontal="left" vertical="top" wrapText="1"/>
    </xf>
    <xf numFmtId="0" fontId="51" fillId="0" borderId="12" xfId="0" applyFont="1" applyFill="1" applyBorder="1" applyAlignment="1">
      <alignment horizontal="center" vertical="center" wrapText="1"/>
    </xf>
    <xf numFmtId="0" fontId="56" fillId="26" borderId="27" xfId="0" applyFont="1" applyFill="1" applyBorder="1" applyAlignment="1">
      <alignment horizontal="left" vertical="center" wrapText="1"/>
    </xf>
    <xf numFmtId="0" fontId="56" fillId="26" borderId="26" xfId="0" applyFont="1" applyFill="1" applyBorder="1" applyAlignment="1">
      <alignment horizontal="left" vertical="center" wrapText="1"/>
    </xf>
    <xf numFmtId="0" fontId="56" fillId="26" borderId="26" xfId="0" applyFont="1" applyFill="1" applyBorder="1" applyAlignment="1">
      <alignment horizontal="center" vertical="center" wrapText="1"/>
    </xf>
    <xf numFmtId="0" fontId="57" fillId="26" borderId="26" xfId="0" applyFont="1" applyFill="1" applyBorder="1" applyAlignment="1">
      <alignment horizontal="center" vertical="center" wrapText="1"/>
    </xf>
    <xf numFmtId="0" fontId="12" fillId="27" borderId="54" xfId="0" applyFont="1" applyFill="1" applyBorder="1" applyAlignment="1">
      <alignment horizontal="center" vertical="center"/>
    </xf>
    <xf numFmtId="0" fontId="12" fillId="27" borderId="52" xfId="0" applyFont="1" applyFill="1" applyBorder="1" applyAlignment="1">
      <alignment horizontal="center" vertical="center"/>
    </xf>
    <xf numFmtId="0" fontId="12" fillId="27" borderId="0" xfId="0" applyFont="1" applyFill="1" applyBorder="1" applyAlignment="1">
      <alignment horizontal="center" vertical="center"/>
    </xf>
    <xf numFmtId="0" fontId="38" fillId="24" borderId="49" xfId="0" applyFont="1" applyFill="1" applyBorder="1" applyAlignment="1">
      <alignment horizontal="center" vertical="center" wrapText="1"/>
    </xf>
    <xf numFmtId="0" fontId="54" fillId="0" borderId="50" xfId="0" applyFont="1" applyBorder="1" applyAlignment="1">
      <alignment horizontal="center" vertical="center" wrapText="1"/>
    </xf>
    <xf numFmtId="0" fontId="38" fillId="24" borderId="47" xfId="0" applyFont="1" applyFill="1" applyBorder="1" applyAlignment="1">
      <alignment horizontal="center" vertical="center" wrapText="1"/>
    </xf>
    <xf numFmtId="0" fontId="38" fillId="24" borderId="35" xfId="0" applyFont="1" applyFill="1" applyBorder="1" applyAlignment="1">
      <alignment horizontal="center" vertical="center" wrapText="1"/>
    </xf>
    <xf numFmtId="0" fontId="12" fillId="29" borderId="15" xfId="0" applyFont="1" applyFill="1" applyBorder="1" applyAlignment="1">
      <alignment horizontal="center" vertical="center" textRotation="90" wrapText="1"/>
    </xf>
    <xf numFmtId="0" fontId="12" fillId="29" borderId="11" xfId="0" applyFont="1" applyFill="1" applyBorder="1" applyAlignment="1">
      <alignment horizontal="center" vertical="center" textRotation="90" wrapText="1"/>
    </xf>
    <xf numFmtId="0" fontId="12" fillId="29" borderId="45" xfId="0" applyFont="1" applyFill="1" applyBorder="1" applyAlignment="1">
      <alignment horizontal="center" vertical="center" wrapText="1"/>
    </xf>
    <xf numFmtId="0" fontId="12" fillId="29" borderId="29" xfId="0" applyFont="1" applyFill="1" applyBorder="1" applyAlignment="1">
      <alignment horizontal="center" vertical="center" wrapText="1"/>
    </xf>
    <xf numFmtId="0" fontId="38" fillId="28" borderId="48" xfId="0" applyFont="1" applyFill="1" applyBorder="1" applyAlignment="1">
      <alignment horizontal="center" vertical="center" wrapText="1"/>
    </xf>
    <xf numFmtId="0" fontId="38" fillId="28" borderId="45" xfId="0" applyFont="1" applyFill="1" applyBorder="1" applyAlignment="1">
      <alignment horizontal="center" vertical="center" wrapText="1"/>
    </xf>
    <xf numFmtId="0" fontId="38" fillId="24" borderId="44" xfId="0" applyFont="1" applyFill="1" applyBorder="1" applyAlignment="1">
      <alignment horizontal="center" vertical="center" wrapText="1"/>
    </xf>
    <xf numFmtId="0" fontId="38" fillId="24" borderId="51" xfId="0" applyFont="1" applyFill="1" applyBorder="1" applyAlignment="1">
      <alignment horizontal="center" vertical="center" wrapText="1"/>
    </xf>
    <xf numFmtId="0" fontId="38" fillId="24" borderId="15" xfId="0" applyFont="1" applyFill="1" applyBorder="1" applyAlignment="1">
      <alignment horizontal="left" vertical="top" wrapText="1"/>
    </xf>
    <xf numFmtId="0" fontId="38" fillId="24" borderId="24" xfId="0" applyFont="1" applyFill="1" applyBorder="1" applyAlignment="1">
      <alignment horizontal="left" vertical="top" wrapText="1"/>
    </xf>
    <xf numFmtId="0" fontId="38" fillId="24" borderId="45" xfId="0" applyFont="1" applyFill="1" applyBorder="1" applyAlignment="1">
      <alignment horizontal="left" vertical="top" wrapText="1"/>
    </xf>
    <xf numFmtId="0" fontId="38" fillId="24" borderId="27" xfId="0" applyFont="1" applyFill="1" applyBorder="1" applyAlignment="1">
      <alignment horizontal="left" vertical="top" wrapText="1"/>
    </xf>
    <xf numFmtId="0" fontId="12" fillId="29" borderId="16" xfId="0" applyFont="1" applyFill="1" applyBorder="1" applyAlignment="1">
      <alignment horizontal="center" vertical="center" wrapText="1"/>
    </xf>
    <xf numFmtId="0" fontId="12" fillId="29" borderId="30" xfId="0" applyFont="1" applyFill="1" applyBorder="1" applyAlignment="1">
      <alignment horizontal="center" vertical="center" wrapText="1"/>
    </xf>
    <xf numFmtId="0" fontId="42" fillId="37" borderId="44" xfId="0" applyFont="1" applyFill="1" applyBorder="1" applyAlignment="1">
      <alignment horizontal="center" vertical="center" wrapText="1"/>
    </xf>
    <xf numFmtId="0" fontId="42" fillId="37" borderId="51" xfId="0" applyFont="1" applyFill="1" applyBorder="1" applyAlignment="1">
      <alignment horizontal="center" vertical="center" wrapText="1"/>
    </xf>
    <xf numFmtId="0" fontId="42" fillId="37" borderId="79" xfId="0" applyFont="1" applyFill="1" applyBorder="1" applyAlignment="1">
      <alignment horizontal="center" vertical="center" wrapText="1"/>
    </xf>
    <xf numFmtId="0" fontId="51" fillId="38" borderId="28" xfId="0" applyFont="1" applyFill="1" applyBorder="1" applyAlignment="1">
      <alignment horizontal="center" vertical="center" wrapText="1"/>
    </xf>
    <xf numFmtId="0" fontId="51" fillId="38" borderId="0" xfId="0" applyFont="1" applyFill="1" applyBorder="1" applyAlignment="1">
      <alignment horizontal="center" vertical="center" wrapText="1"/>
    </xf>
    <xf numFmtId="0" fontId="51" fillId="38" borderId="78" xfId="0" applyFont="1" applyFill="1" applyBorder="1" applyAlignment="1">
      <alignment horizontal="center" vertical="center" wrapText="1"/>
    </xf>
    <xf numFmtId="0" fontId="51" fillId="38" borderId="81" xfId="0" applyFont="1" applyFill="1" applyBorder="1" applyAlignment="1">
      <alignment horizontal="center" vertical="top" wrapText="1"/>
    </xf>
    <xf numFmtId="0" fontId="51" fillId="38" borderId="0" xfId="0" applyFont="1" applyFill="1" applyBorder="1" applyAlignment="1">
      <alignment horizontal="center" vertical="top" wrapText="1"/>
    </xf>
    <xf numFmtId="0" fontId="51" fillId="38" borderId="78" xfId="0" applyFont="1" applyFill="1" applyBorder="1" applyAlignment="1">
      <alignment horizontal="center" vertical="top" wrapText="1"/>
    </xf>
    <xf numFmtId="0" fontId="56" fillId="26" borderId="75" xfId="0" applyFont="1" applyFill="1" applyBorder="1" applyAlignment="1">
      <alignment horizontal="left" vertical="top" wrapText="1"/>
    </xf>
    <xf numFmtId="0" fontId="56" fillId="0" borderId="75" xfId="0" applyFont="1" applyFill="1" applyBorder="1" applyAlignment="1">
      <alignment horizontal="left" vertical="top" wrapText="1"/>
    </xf>
    <xf numFmtId="0" fontId="56" fillId="0" borderId="26" xfId="0" applyFont="1" applyFill="1" applyBorder="1" applyAlignment="1">
      <alignment horizontal="left" vertical="top" wrapText="1"/>
    </xf>
    <xf numFmtId="0" fontId="8" fillId="0" borderId="75" xfId="0" applyFont="1" applyBorder="1" applyAlignment="1">
      <alignment horizontal="center" vertical="center" wrapText="1"/>
    </xf>
    <xf numFmtId="0" fontId="8" fillId="0" borderId="82" xfId="0" applyFont="1" applyBorder="1" applyAlignment="1">
      <alignment horizontal="center" vertical="center" wrapText="1"/>
    </xf>
    <xf numFmtId="0" fontId="57" fillId="26" borderId="26" xfId="0" applyFont="1" applyFill="1" applyBorder="1" applyAlignment="1">
      <alignment horizontal="left" vertical="top" wrapText="1"/>
    </xf>
    <xf numFmtId="0" fontId="57" fillId="26" borderId="75" xfId="0" applyFont="1" applyFill="1" applyBorder="1" applyAlignment="1">
      <alignment horizontal="left" vertical="top" wrapText="1"/>
    </xf>
    <xf numFmtId="0" fontId="8" fillId="0" borderId="27" xfId="0" applyFont="1" applyBorder="1" applyAlignment="1">
      <alignment horizontal="left" vertical="center" wrapText="1"/>
    </xf>
    <xf numFmtId="0" fontId="8" fillId="0" borderId="82" xfId="0" applyFont="1" applyBorder="1" applyAlignment="1">
      <alignment horizontal="left" vertical="center" wrapText="1"/>
    </xf>
    <xf numFmtId="0" fontId="51" fillId="0" borderId="27" xfId="0" applyFont="1" applyFill="1" applyBorder="1" applyAlignment="1">
      <alignment horizontal="left" vertical="center" wrapText="1"/>
    </xf>
    <xf numFmtId="0" fontId="51" fillId="0" borderId="82" xfId="0" applyFont="1" applyFill="1" applyBorder="1" applyAlignment="1">
      <alignment horizontal="left" vertical="center" wrapText="1"/>
    </xf>
    <xf numFmtId="0" fontId="56" fillId="0" borderId="27" xfId="0" applyFont="1" applyBorder="1" applyAlignment="1">
      <alignment horizontal="left" vertical="top" wrapText="1"/>
    </xf>
    <xf numFmtId="0" fontId="54" fillId="0" borderId="26" xfId="0" applyFont="1" applyBorder="1" applyAlignment="1">
      <alignment horizontal="left" vertical="top" wrapText="1"/>
    </xf>
    <xf numFmtId="0" fontId="54" fillId="0" borderId="27" xfId="0" applyFont="1" applyBorder="1" applyAlignment="1">
      <alignment horizontal="left" vertical="top" wrapText="1"/>
    </xf>
    <xf numFmtId="0" fontId="38" fillId="24" borderId="20" xfId="0" applyFont="1" applyFill="1" applyBorder="1" applyAlignment="1">
      <alignment horizontal="center" vertical="center"/>
    </xf>
    <xf numFmtId="0" fontId="38" fillId="24" borderId="22" xfId="0" applyFont="1" applyFill="1" applyBorder="1" applyAlignment="1">
      <alignment horizontal="center" vertical="center"/>
    </xf>
    <xf numFmtId="0" fontId="30" fillId="24" borderId="52" xfId="0" applyFont="1" applyFill="1" applyBorder="1" applyAlignment="1">
      <alignment horizontal="right"/>
    </xf>
    <xf numFmtId="0" fontId="0" fillId="0" borderId="52" xfId="0" applyBorder="1" applyAlignment="1"/>
    <xf numFmtId="0" fontId="5" fillId="0" borderId="0" xfId="0" applyFont="1" applyAlignment="1"/>
    <xf numFmtId="0" fontId="0" fillId="0" borderId="0" xfId="0" applyAlignment="1"/>
    <xf numFmtId="0" fontId="4" fillId="0" borderId="56" xfId="44" applyFont="1" applyFill="1" applyBorder="1" applyAlignment="1">
      <alignment horizontal="left" vertical="center" wrapText="1"/>
    </xf>
    <xf numFmtId="0" fontId="3" fillId="0" borderId="57" xfId="44" applyFill="1" applyBorder="1" applyAlignment="1">
      <alignment horizontal="left" vertical="center"/>
    </xf>
    <xf numFmtId="0" fontId="3" fillId="0" borderId="58" xfId="44" applyFill="1" applyBorder="1" applyAlignment="1">
      <alignment horizontal="left" vertical="center"/>
    </xf>
    <xf numFmtId="0" fontId="3" fillId="0" borderId="54" xfId="44" applyFill="1" applyBorder="1" applyAlignment="1">
      <alignment horizontal="left" vertical="center"/>
    </xf>
    <xf numFmtId="0" fontId="3" fillId="0" borderId="52" xfId="44" applyFill="1" applyBorder="1" applyAlignment="1">
      <alignment horizontal="left" vertical="center"/>
    </xf>
    <xf numFmtId="0" fontId="3" fillId="0" borderId="60" xfId="44" applyFill="1" applyBorder="1" applyAlignment="1">
      <alignment horizontal="left" vertical="center"/>
    </xf>
    <xf numFmtId="0" fontId="12" fillId="0" borderId="56" xfId="44" applyFont="1" applyFill="1" applyBorder="1" applyAlignment="1">
      <alignment horizontal="center" vertical="center" wrapText="1"/>
    </xf>
    <xf numFmtId="0" fontId="12" fillId="0" borderId="57" xfId="44" applyFont="1" applyFill="1" applyBorder="1" applyAlignment="1">
      <alignment horizontal="center" vertical="center"/>
    </xf>
    <xf numFmtId="0" fontId="12" fillId="0" borderId="58" xfId="44" applyFont="1" applyFill="1" applyBorder="1" applyAlignment="1">
      <alignment horizontal="center" vertical="center"/>
    </xf>
    <xf numFmtId="0" fontId="12" fillId="0" borderId="54" xfId="44" applyFont="1" applyFill="1" applyBorder="1" applyAlignment="1">
      <alignment horizontal="center" vertical="center"/>
    </xf>
    <xf numFmtId="0" fontId="12" fillId="0" borderId="52" xfId="44" applyFont="1" applyFill="1" applyBorder="1" applyAlignment="1">
      <alignment horizontal="center" vertical="center"/>
    </xf>
    <xf numFmtId="0" fontId="12" fillId="0" borderId="60" xfId="44" applyFont="1" applyFill="1" applyBorder="1" applyAlignment="1">
      <alignment horizontal="center" vertical="center"/>
    </xf>
    <xf numFmtId="0" fontId="44" fillId="34" borderId="61" xfId="43" applyFont="1" applyFill="1" applyBorder="1" applyAlignment="1" applyProtection="1">
      <alignment horizontal="center" vertical="center"/>
    </xf>
    <xf numFmtId="0" fontId="44" fillId="34" borderId="62" xfId="43" applyFont="1" applyFill="1" applyBorder="1" applyAlignment="1" applyProtection="1">
      <alignment horizontal="center" vertical="center"/>
    </xf>
    <xf numFmtId="0" fontId="44" fillId="34" borderId="63" xfId="43" applyFont="1" applyFill="1" applyBorder="1" applyAlignment="1" applyProtection="1">
      <alignment horizontal="center" vertical="center"/>
    </xf>
    <xf numFmtId="0" fontId="44" fillId="35" borderId="64" xfId="43" applyFont="1" applyFill="1" applyBorder="1" applyAlignment="1" applyProtection="1">
      <alignment horizontal="center" vertical="center"/>
    </xf>
    <xf numFmtId="0" fontId="44" fillId="35" borderId="65" xfId="43" applyFont="1" applyFill="1" applyBorder="1" applyAlignment="1" applyProtection="1">
      <alignment horizontal="center" vertical="center"/>
    </xf>
    <xf numFmtId="0" fontId="44" fillId="35" borderId="66" xfId="43" applyFont="1" applyFill="1" applyBorder="1" applyAlignment="1" applyProtection="1">
      <alignment horizontal="center" vertical="center"/>
    </xf>
    <xf numFmtId="0" fontId="6" fillId="0" borderId="12" xfId="43" applyFont="1" applyFill="1" applyBorder="1" applyAlignment="1" applyProtection="1">
      <alignment horizontal="left" vertical="top" wrapText="1"/>
    </xf>
    <xf numFmtId="0" fontId="3" fillId="0" borderId="12" xfId="44" applyFont="1" applyBorder="1" applyAlignment="1">
      <alignment horizontal="left" vertical="top" wrapText="1"/>
    </xf>
    <xf numFmtId="0" fontId="8" fillId="0" borderId="67" xfId="43" applyFont="1" applyFill="1" applyBorder="1" applyAlignment="1">
      <alignment horizontal="left" vertical="top" wrapText="1"/>
    </xf>
    <xf numFmtId="0" fontId="8" fillId="0" borderId="42" xfId="43" applyFont="1" applyFill="1" applyBorder="1" applyAlignment="1">
      <alignment horizontal="left" vertical="top" wrapText="1"/>
    </xf>
    <xf numFmtId="0" fontId="8" fillId="0" borderId="48" xfId="43" applyFont="1" applyFill="1" applyBorder="1" applyAlignment="1">
      <alignment horizontal="left" vertical="top" wrapText="1"/>
    </xf>
    <xf numFmtId="0" fontId="4" fillId="0" borderId="20" xfId="43" applyFont="1" applyFill="1" applyBorder="1" applyAlignment="1">
      <alignment vertical="center"/>
    </xf>
    <xf numFmtId="0" fontId="39" fillId="0" borderId="23" xfId="43" applyFill="1" applyBorder="1" applyAlignment="1">
      <alignment vertical="center"/>
    </xf>
    <xf numFmtId="0" fontId="4" fillId="0" borderId="20" xfId="43" applyFont="1" applyFill="1" applyBorder="1" applyAlignment="1">
      <alignment horizontal="left" vertical="center"/>
    </xf>
    <xf numFmtId="0" fontId="4" fillId="0" borderId="22" xfId="43" applyFont="1" applyFill="1" applyBorder="1" applyAlignment="1">
      <alignment horizontal="left" vertical="center"/>
    </xf>
    <xf numFmtId="0" fontId="4" fillId="0" borderId="23" xfId="43" applyFont="1" applyFill="1" applyBorder="1" applyAlignment="1">
      <alignment horizontal="left" vertical="center"/>
    </xf>
    <xf numFmtId="15" fontId="4" fillId="0" borderId="20" xfId="43" applyNumberFormat="1" applyFont="1" applyFill="1" applyBorder="1" applyAlignment="1">
      <alignment horizontal="center" vertical="center"/>
    </xf>
    <xf numFmtId="0" fontId="4" fillId="0" borderId="23" xfId="43" applyFont="1" applyFill="1" applyBorder="1" applyAlignment="1">
      <alignment horizontal="center" vertical="center"/>
    </xf>
    <xf numFmtId="0" fontId="4" fillId="0" borderId="20" xfId="43" applyFont="1" applyFill="1" applyBorder="1" applyAlignment="1">
      <alignment horizontal="center" vertical="center"/>
    </xf>
    <xf numFmtId="0" fontId="4" fillId="0" borderId="22" xfId="43" applyFont="1" applyFill="1" applyBorder="1" applyAlignment="1">
      <alignment horizontal="center" vertical="center"/>
    </xf>
    <xf numFmtId="0" fontId="39" fillId="0" borderId="22" xfId="43" applyFill="1" applyBorder="1" applyAlignment="1">
      <alignment vertical="center"/>
    </xf>
    <xf numFmtId="0" fontId="3" fillId="0" borderId="22" xfId="44" applyBorder="1" applyAlignment="1">
      <alignment vertical="center"/>
    </xf>
    <xf numFmtId="0" fontId="3" fillId="0" borderId="23" xfId="44" applyBorder="1" applyAlignment="1">
      <alignment vertical="center"/>
    </xf>
    <xf numFmtId="0" fontId="46" fillId="0" borderId="12" xfId="43" applyFont="1" applyFill="1" applyBorder="1" applyAlignment="1">
      <alignment horizontal="left" vertical="top" wrapText="1"/>
    </xf>
    <xf numFmtId="0" fontId="45" fillId="0" borderId="0" xfId="43" applyFont="1" applyFill="1" applyBorder="1" applyAlignment="1">
      <alignment horizontal="center" vertical="center" wrapText="1"/>
    </xf>
    <xf numFmtId="0" fontId="8" fillId="0" borderId="12" xfId="43" applyFont="1" applyFill="1" applyBorder="1" applyAlignment="1">
      <alignment horizontal="left" vertical="top" wrapText="1"/>
    </xf>
    <xf numFmtId="0" fontId="4" fillId="0" borderId="17" xfId="43" applyFont="1" applyFill="1" applyBorder="1" applyAlignment="1">
      <alignment horizontal="center" vertical="center"/>
    </xf>
    <xf numFmtId="0" fontId="4" fillId="0" borderId="18" xfId="43" applyFont="1" applyFill="1" applyBorder="1" applyAlignment="1">
      <alignment horizontal="center" vertical="center"/>
    </xf>
    <xf numFmtId="0" fontId="4" fillId="0" borderId="34" xfId="43" applyFont="1" applyFill="1" applyBorder="1" applyAlignment="1">
      <alignment horizontal="center" vertical="center"/>
    </xf>
    <xf numFmtId="0" fontId="4" fillId="0" borderId="41" xfId="43" applyFont="1" applyFill="1" applyBorder="1" applyAlignment="1">
      <alignment horizontal="center" vertical="center"/>
    </xf>
    <xf numFmtId="0" fontId="4" fillId="0" borderId="43" xfId="43" applyFont="1" applyFill="1" applyBorder="1" applyAlignment="1">
      <alignment horizontal="center" vertical="center"/>
    </xf>
    <xf numFmtId="0" fontId="48" fillId="0" borderId="41" xfId="43" applyFont="1" applyFill="1" applyBorder="1" applyAlignment="1">
      <alignment horizontal="center" vertical="center"/>
    </xf>
    <xf numFmtId="0" fontId="48" fillId="0" borderId="42" xfId="43" applyFont="1" applyFill="1" applyBorder="1" applyAlignment="1">
      <alignment horizontal="center" vertical="center"/>
    </xf>
    <xf numFmtId="0" fontId="48" fillId="0" borderId="43" xfId="43" applyFont="1" applyFill="1" applyBorder="1" applyAlignment="1">
      <alignment horizontal="center" vertical="center"/>
    </xf>
    <xf numFmtId="0" fontId="4" fillId="0" borderId="69" xfId="43" applyFont="1" applyFill="1" applyBorder="1" applyAlignment="1">
      <alignment horizontal="center" vertical="center"/>
    </xf>
    <xf numFmtId="0" fontId="3" fillId="0" borderId="36" xfId="44" applyBorder="1" applyAlignment="1">
      <alignment horizontal="center" vertical="center"/>
    </xf>
    <xf numFmtId="0" fontId="4" fillId="0" borderId="42" xfId="43" applyFont="1" applyFill="1" applyBorder="1" applyAlignment="1">
      <alignment horizontal="center" vertical="center"/>
    </xf>
    <xf numFmtId="0" fontId="8" fillId="0" borderId="18" xfId="43" applyFont="1" applyFill="1" applyBorder="1" applyAlignment="1">
      <alignment horizontal="left" vertical="top" wrapText="1"/>
    </xf>
    <xf numFmtId="0" fontId="8" fillId="0" borderId="14" xfId="43" applyFont="1" applyFill="1" applyBorder="1" applyAlignment="1">
      <alignment horizontal="left" vertical="top" wrapText="1"/>
    </xf>
    <xf numFmtId="0" fontId="8" fillId="0" borderId="34" xfId="43" applyFont="1" applyFill="1" applyBorder="1" applyAlignment="1">
      <alignment horizontal="left" vertical="top" wrapText="1"/>
    </xf>
    <xf numFmtId="0" fontId="8" fillId="0" borderId="13" xfId="43" applyFont="1" applyFill="1" applyBorder="1" applyAlignment="1">
      <alignment horizontal="left" vertical="top" wrapText="1"/>
    </xf>
    <xf numFmtId="0" fontId="6" fillId="0" borderId="12" xfId="44" applyFont="1" applyFill="1" applyBorder="1" applyAlignment="1">
      <alignment horizontal="left" vertical="top" wrapText="1"/>
    </xf>
    <xf numFmtId="0" fontId="3" fillId="0" borderId="12" xfId="44" applyBorder="1" applyAlignment="1">
      <alignment horizontal="left" vertical="top" wrapText="1"/>
    </xf>
    <xf numFmtId="0" fontId="4" fillId="0" borderId="54" xfId="43" applyFont="1" applyFill="1" applyBorder="1" applyAlignment="1" applyProtection="1">
      <alignment horizontal="center" vertical="center" wrapText="1"/>
    </xf>
    <xf numFmtId="0" fontId="3" fillId="0" borderId="52" xfId="44" applyBorder="1" applyAlignment="1">
      <alignment horizontal="center" vertical="center"/>
    </xf>
    <xf numFmtId="0" fontId="3" fillId="0" borderId="23" xfId="44" applyBorder="1" applyAlignment="1">
      <alignment horizontal="center" vertical="center"/>
    </xf>
    <xf numFmtId="0" fontId="4" fillId="0" borderId="50" xfId="43" applyFont="1" applyFill="1" applyBorder="1" applyAlignment="1">
      <alignment horizontal="center" vertical="center" wrapText="1"/>
    </xf>
    <xf numFmtId="0" fontId="4" fillId="0" borderId="22" xfId="43" applyFont="1" applyFill="1" applyBorder="1" applyAlignment="1">
      <alignment horizontal="center" vertical="center" wrapText="1"/>
    </xf>
    <xf numFmtId="0" fontId="4" fillId="0" borderId="23" xfId="43" applyFont="1" applyFill="1" applyBorder="1" applyAlignment="1">
      <alignment horizontal="center" vertical="center" wrapText="1"/>
    </xf>
    <xf numFmtId="0" fontId="3" fillId="0" borderId="22" xfId="44" applyBorder="1" applyAlignment="1">
      <alignment horizontal="center" vertical="center"/>
    </xf>
    <xf numFmtId="0" fontId="8" fillId="0" borderId="31" xfId="43" applyFont="1" applyFill="1" applyBorder="1" applyAlignment="1">
      <alignment horizontal="left" vertical="top" wrapText="1"/>
    </xf>
    <xf numFmtId="0" fontId="8" fillId="0" borderId="39" xfId="43" applyFont="1" applyFill="1" applyBorder="1" applyAlignment="1">
      <alignment horizontal="left" vertical="top" wrapText="1"/>
    </xf>
    <xf numFmtId="0" fontId="8" fillId="0" borderId="32" xfId="43" applyFont="1" applyFill="1" applyBorder="1" applyAlignment="1">
      <alignment horizontal="left" vertical="top" wrapText="1"/>
    </xf>
    <xf numFmtId="0" fontId="8" fillId="0" borderId="71" xfId="43" applyFont="1" applyFill="1" applyBorder="1" applyAlignment="1">
      <alignment horizontal="left" vertical="top" wrapText="1"/>
    </xf>
    <xf numFmtId="0" fontId="8" fillId="0" borderId="14" xfId="43" applyFont="1" applyFill="1" applyBorder="1" applyAlignment="1">
      <alignment horizontal="center" vertical="top" wrapText="1"/>
    </xf>
    <xf numFmtId="0" fontId="8" fillId="0" borderId="18" xfId="43" applyFont="1" applyFill="1" applyBorder="1" applyAlignment="1">
      <alignment horizontal="center" vertical="top" wrapText="1"/>
    </xf>
    <xf numFmtId="0" fontId="8" fillId="0" borderId="34" xfId="43" applyFont="1" applyFill="1" applyBorder="1" applyAlignment="1">
      <alignment horizontal="center" vertical="top" wrapText="1"/>
    </xf>
    <xf numFmtId="0" fontId="4" fillId="0" borderId="44" xfId="43" applyFont="1" applyFill="1" applyBorder="1" applyAlignment="1">
      <alignment horizontal="left" vertical="center"/>
    </xf>
    <xf numFmtId="0" fontId="4" fillId="0" borderId="74" xfId="43" applyFont="1" applyFill="1" applyBorder="1" applyAlignment="1">
      <alignment horizontal="left" vertical="center"/>
    </xf>
    <xf numFmtId="0" fontId="4" fillId="0" borderId="75" xfId="43" applyFont="1" applyFill="1" applyBorder="1" applyAlignment="1">
      <alignment horizontal="left" vertical="center"/>
    </xf>
    <xf numFmtId="0" fontId="4" fillId="0" borderId="76" xfId="43" applyFont="1" applyFill="1" applyBorder="1" applyAlignment="1">
      <alignment horizontal="left" vertical="center"/>
    </xf>
    <xf numFmtId="0" fontId="4" fillId="0" borderId="50" xfId="43" applyFont="1" applyFill="1" applyBorder="1" applyAlignment="1">
      <alignment horizontal="center" vertical="center"/>
    </xf>
    <xf numFmtId="0" fontId="46" fillId="0" borderId="42" xfId="43" applyFont="1" applyFill="1" applyBorder="1" applyAlignment="1">
      <alignment horizontal="center" vertical="top" wrapText="1"/>
    </xf>
    <xf numFmtId="0" fontId="46" fillId="0" borderId="48" xfId="43" applyFont="1" applyFill="1" applyBorder="1" applyAlignment="1">
      <alignment horizontal="center" vertical="top" wrapText="1"/>
    </xf>
    <xf numFmtId="0" fontId="46" fillId="0" borderId="67" xfId="43" applyFont="1" applyFill="1" applyBorder="1" applyAlignment="1">
      <alignment horizontal="center" vertical="top" wrapText="1"/>
    </xf>
    <xf numFmtId="0" fontId="46" fillId="0" borderId="43" xfId="43" applyFont="1" applyFill="1" applyBorder="1" applyAlignment="1">
      <alignment horizontal="center" vertical="top" wrapText="1"/>
    </xf>
    <xf numFmtId="0" fontId="46" fillId="0" borderId="42" xfId="43" applyFont="1" applyFill="1" applyBorder="1" applyAlignment="1">
      <alignment horizontal="left" vertical="top" wrapText="1"/>
    </xf>
    <xf numFmtId="0" fontId="46" fillId="0" borderId="48" xfId="43" applyFont="1" applyFill="1" applyBorder="1" applyAlignment="1">
      <alignment horizontal="left" vertical="top" wrapText="1"/>
    </xf>
    <xf numFmtId="0" fontId="8" fillId="0" borderId="69" xfId="43" applyFont="1" applyFill="1" applyBorder="1" applyAlignment="1">
      <alignment horizontal="left" vertical="top" wrapText="1"/>
    </xf>
    <xf numFmtId="0" fontId="8" fillId="0" borderId="40" xfId="43" applyFont="1" applyFill="1" applyBorder="1" applyAlignment="1">
      <alignment horizontal="left" vertical="top" wrapText="1"/>
    </xf>
    <xf numFmtId="0" fontId="8" fillId="0" borderId="36" xfId="43" applyFont="1" applyFill="1" applyBorder="1" applyAlignment="1">
      <alignment horizontal="left" vertical="top" wrapText="1"/>
    </xf>
    <xf numFmtId="0" fontId="8" fillId="0" borderId="73" xfId="43" applyFont="1" applyFill="1" applyBorder="1" applyAlignment="1">
      <alignment horizontal="left" vertical="top" wrapText="1"/>
    </xf>
    <xf numFmtId="0" fontId="46" fillId="0" borderId="18" xfId="43" applyFont="1" applyFill="1" applyBorder="1" applyAlignment="1">
      <alignment horizontal="center" vertical="top" wrapText="1"/>
    </xf>
    <xf numFmtId="0" fontId="46" fillId="0" borderId="13" xfId="43" applyFont="1" applyFill="1" applyBorder="1" applyAlignment="1">
      <alignment horizontal="center" vertical="top" wrapText="1"/>
    </xf>
    <xf numFmtId="0" fontId="46" fillId="0" borderId="14" xfId="43" applyFont="1" applyFill="1" applyBorder="1" applyAlignment="1">
      <alignment horizontal="center" vertical="top" wrapText="1"/>
    </xf>
    <xf numFmtId="0" fontId="46" fillId="0" borderId="34" xfId="43" applyFont="1" applyFill="1" applyBorder="1" applyAlignment="1">
      <alignment horizontal="center" vertical="top" wrapText="1"/>
    </xf>
    <xf numFmtId="0" fontId="46" fillId="0" borderId="18" xfId="43" applyFont="1" applyFill="1" applyBorder="1" applyAlignment="1">
      <alignment horizontal="left" vertical="top" wrapText="1"/>
    </xf>
    <xf numFmtId="0" fontId="46" fillId="0" borderId="13" xfId="43" applyFont="1" applyFill="1" applyBorder="1" applyAlignment="1">
      <alignment horizontal="left" vertical="top" wrapText="1"/>
    </xf>
    <xf numFmtId="0" fontId="6" fillId="0" borderId="56" xfId="43" applyFont="1" applyFill="1" applyBorder="1" applyAlignment="1">
      <alignment horizontal="left" vertical="top" wrapText="1"/>
    </xf>
    <xf numFmtId="0" fontId="3" fillId="0" borderId="57" xfId="44" applyBorder="1" applyAlignment="1"/>
    <xf numFmtId="0" fontId="3" fillId="0" borderId="58" xfId="44" applyBorder="1" applyAlignment="1"/>
    <xf numFmtId="0" fontId="3" fillId="0" borderId="28" xfId="44" applyBorder="1" applyAlignment="1"/>
    <xf numFmtId="0" fontId="3" fillId="0" borderId="0" xfId="44" applyBorder="1" applyAlignment="1"/>
    <xf numFmtId="0" fontId="3" fillId="0" borderId="59" xfId="44" applyBorder="1" applyAlignment="1"/>
    <xf numFmtId="0" fontId="3" fillId="0" borderId="54" xfId="44" applyBorder="1" applyAlignment="1"/>
    <xf numFmtId="0" fontId="3" fillId="0" borderId="52" xfId="44" applyBorder="1" applyAlignment="1"/>
    <xf numFmtId="0" fontId="3" fillId="0" borderId="60" xfId="44" applyBorder="1" applyAlignment="1"/>
    <xf numFmtId="0" fontId="46" fillId="0" borderId="69" xfId="43" applyFont="1" applyFill="1" applyBorder="1" applyAlignment="1">
      <alignment horizontal="center" vertical="top" wrapText="1"/>
    </xf>
    <xf numFmtId="0" fontId="46" fillId="0" borderId="73" xfId="43" applyFont="1" applyFill="1" applyBorder="1" applyAlignment="1">
      <alignment horizontal="center" vertical="top" wrapText="1"/>
    </xf>
    <xf numFmtId="0" fontId="46" fillId="0" borderId="40" xfId="43" applyFont="1" applyFill="1" applyBorder="1" applyAlignment="1">
      <alignment horizontal="center" vertical="top" wrapText="1"/>
    </xf>
    <xf numFmtId="0" fontId="46" fillId="0" borderId="36" xfId="43" applyFont="1" applyFill="1" applyBorder="1" applyAlignment="1">
      <alignment horizontal="center" vertical="top" wrapText="1"/>
    </xf>
    <xf numFmtId="0" fontId="46" fillId="0" borderId="69" xfId="43" applyFont="1" applyFill="1" applyBorder="1" applyAlignment="1">
      <alignment horizontal="left" vertical="top" wrapText="1"/>
    </xf>
    <xf numFmtId="0" fontId="46" fillId="0" borderId="73" xfId="43" applyFont="1" applyFill="1" applyBorder="1" applyAlignment="1">
      <alignment horizontal="left" vertical="top" wrapTex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cellStyle name="Economics" xfId="45"/>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cellStyle name="Normal 2 2" xfId="46"/>
    <cellStyle name="Normal 3" xfId="44"/>
    <cellStyle name="Normal_Copy of Risk Register template (bow tie)" xfId="43"/>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24</xdr:col>
      <xdr:colOff>681216</xdr:colOff>
      <xdr:row>5</xdr:row>
      <xdr:rowOff>2424546</xdr:rowOff>
    </xdr:from>
    <xdr:to>
      <xdr:col>40</xdr:col>
      <xdr:colOff>144349</xdr:colOff>
      <xdr:row>5</xdr:row>
      <xdr:rowOff>4806835</xdr:rowOff>
    </xdr:to>
    <xdr:pic>
      <xdr:nvPicPr>
        <xdr:cNvPr id="2" name="Picture 1"/>
        <xdr:cNvPicPr>
          <a:picLocks noChangeAspect="1"/>
        </xdr:cNvPicPr>
      </xdr:nvPicPr>
      <xdr:blipFill>
        <a:blip xmlns:r="http://schemas.openxmlformats.org/officeDocument/2006/relationships" r:embed="rId1"/>
        <a:stretch>
          <a:fillRect/>
        </a:stretch>
      </xdr:blipFill>
      <xdr:spPr>
        <a:xfrm>
          <a:off x="30295307" y="7013864"/>
          <a:ext cx="10564088" cy="25804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495300</xdr:colOff>
      <xdr:row>61</xdr:row>
      <xdr:rowOff>95250</xdr:rowOff>
    </xdr:from>
    <xdr:to>
      <xdr:col>14</xdr:col>
      <xdr:colOff>314325</xdr:colOff>
      <xdr:row>66</xdr:row>
      <xdr:rowOff>47625</xdr:rowOff>
    </xdr:to>
    <xdr:pic>
      <xdr:nvPicPr>
        <xdr:cNvPr id="5" name="Picture 5"/>
        <xdr:cNvPicPr>
          <a:picLocks noChangeAspect="1" noChangeArrowheads="1"/>
        </xdr:cNvPicPr>
      </xdr:nvPicPr>
      <xdr:blipFill rotWithShape="1">
        <a:blip xmlns:r="http://schemas.openxmlformats.org/officeDocument/2006/relationships" r:embed="rId1" cstate="print"/>
        <a:srcRect r="15312" b="89101"/>
        <a:stretch/>
      </xdr:blipFill>
      <xdr:spPr bwMode="auto">
        <a:xfrm>
          <a:off x="1104900" y="9972675"/>
          <a:ext cx="7743825" cy="762000"/>
        </a:xfrm>
        <a:prstGeom prst="rect">
          <a:avLst/>
        </a:prstGeom>
        <a:noFill/>
      </xdr:spPr>
    </xdr:pic>
    <xdr:clientData/>
  </xdr:twoCellAnchor>
  <xdr:twoCellAnchor editAs="oneCell">
    <xdr:from>
      <xdr:col>1</xdr:col>
      <xdr:colOff>542925</xdr:colOff>
      <xdr:row>68</xdr:row>
      <xdr:rowOff>66675</xdr:rowOff>
    </xdr:from>
    <xdr:to>
      <xdr:col>14</xdr:col>
      <xdr:colOff>286732</xdr:colOff>
      <xdr:row>102</xdr:row>
      <xdr:rowOff>66674</xdr:rowOff>
    </xdr:to>
    <xdr:pic>
      <xdr:nvPicPr>
        <xdr:cNvPr id="11" name="Picture 1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2525" y="11077575"/>
          <a:ext cx="7668607" cy="5505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348343</xdr:colOff>
      <xdr:row>3</xdr:row>
      <xdr:rowOff>88447</xdr:rowOff>
    </xdr:from>
    <xdr:to>
      <xdr:col>20</xdr:col>
      <xdr:colOff>580104</xdr:colOff>
      <xdr:row>58</xdr:row>
      <xdr:rowOff>78923</xdr:rowOff>
    </xdr:to>
    <xdr:pic>
      <xdr:nvPicPr>
        <xdr:cNvPr id="13" name="Picture 12"/>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8343" y="578304"/>
          <a:ext cx="12478190" cy="9229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9525</xdr:colOff>
      <xdr:row>8</xdr:row>
      <xdr:rowOff>0</xdr:rowOff>
    </xdr:from>
    <xdr:to>
      <xdr:col>35</xdr:col>
      <xdr:colOff>298596</xdr:colOff>
      <xdr:row>30</xdr:row>
      <xdr:rowOff>95250</xdr:rowOff>
    </xdr:to>
    <xdr:pic>
      <xdr:nvPicPr>
        <xdr:cNvPr id="9" name="Picture 8"/>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030325" y="1457325"/>
          <a:ext cx="8604396" cy="3752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54428</xdr:colOff>
      <xdr:row>38</xdr:row>
      <xdr:rowOff>81642</xdr:rowOff>
    </xdr:from>
    <xdr:to>
      <xdr:col>36</xdr:col>
      <xdr:colOff>54884</xdr:colOff>
      <xdr:row>51</xdr:row>
      <xdr:rowOff>136071</xdr:rowOff>
    </xdr:to>
    <xdr:pic>
      <xdr:nvPicPr>
        <xdr:cNvPr id="2" name="Picture 1"/>
        <xdr:cNvPicPr>
          <a:picLocks noChangeAspect="1"/>
        </xdr:cNvPicPr>
      </xdr:nvPicPr>
      <xdr:blipFill>
        <a:blip xmlns:r="http://schemas.openxmlformats.org/officeDocument/2006/relationships" r:embed="rId5"/>
        <a:stretch>
          <a:fillRect/>
        </a:stretch>
      </xdr:blipFill>
      <xdr:spPr>
        <a:xfrm>
          <a:off x="14137821" y="6545035"/>
          <a:ext cx="8913134" cy="217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112058</xdr:colOff>
      <xdr:row>8</xdr:row>
      <xdr:rowOff>112058</xdr:rowOff>
    </xdr:from>
    <xdr:to>
      <xdr:col>17</xdr:col>
      <xdr:colOff>100850</xdr:colOff>
      <xdr:row>13</xdr:row>
      <xdr:rowOff>313763</xdr:rowOff>
    </xdr:to>
    <xdr:sp macro="" textlink="">
      <xdr:nvSpPr>
        <xdr:cNvPr id="2" name="Oval 1"/>
        <xdr:cNvSpPr/>
      </xdr:nvSpPr>
      <xdr:spPr>
        <a:xfrm>
          <a:off x="7865408" y="2579033"/>
          <a:ext cx="2560542" cy="1697130"/>
        </a:xfrm>
        <a:prstGeom prst="ellipse">
          <a:avLst/>
        </a:prstGeom>
        <a:solidFill>
          <a:srgbClr val="FF0000">
            <a:alpha val="54000"/>
          </a:srgbClr>
        </a:solidFill>
        <a:ln>
          <a:solidFill>
            <a:srgbClr val="FF0000">
              <a:alpha val="87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AU" sz="1100"/>
        </a:p>
      </xdr:txBody>
    </xdr:sp>
    <xdr:clientData/>
  </xdr:twoCellAnchor>
  <xdr:twoCellAnchor>
    <xdr:from>
      <xdr:col>18</xdr:col>
      <xdr:colOff>123825</xdr:colOff>
      <xdr:row>6</xdr:row>
      <xdr:rowOff>104775</xdr:rowOff>
    </xdr:from>
    <xdr:to>
      <xdr:col>21</xdr:col>
      <xdr:colOff>481853</xdr:colOff>
      <xdr:row>16</xdr:row>
      <xdr:rowOff>114300</xdr:rowOff>
    </xdr:to>
    <xdr:sp macro="" textlink="">
      <xdr:nvSpPr>
        <xdr:cNvPr id="3" name="AutoShape 1"/>
        <xdr:cNvSpPr>
          <a:spLocks noChangeArrowheads="1"/>
        </xdr:cNvSpPr>
      </xdr:nvSpPr>
      <xdr:spPr bwMode="auto">
        <a:xfrm rot="-5400000">
          <a:off x="10399339" y="2011736"/>
          <a:ext cx="3324225" cy="2977403"/>
        </a:xfrm>
        <a:prstGeom prst="triangle">
          <a:avLst>
            <a:gd name="adj" fmla="val 50000"/>
          </a:avLst>
        </a:prstGeom>
        <a:solidFill>
          <a:srgbClr val="97BCE5"/>
        </a:solidFill>
        <a:ln w="38100" algn="ctr">
          <a:solidFill>
            <a:srgbClr val="000000"/>
          </a:solidFill>
          <a:miter lim="800000"/>
          <a:headEnd/>
          <a:tailEnd/>
        </a:ln>
      </xdr:spPr>
    </xdr:sp>
    <xdr:clientData/>
  </xdr:twoCellAnchor>
  <xdr:twoCellAnchor>
    <xdr:from>
      <xdr:col>8</xdr:col>
      <xdr:colOff>156882</xdr:colOff>
      <xdr:row>6</xdr:row>
      <xdr:rowOff>114300</xdr:rowOff>
    </xdr:from>
    <xdr:to>
      <xdr:col>11</xdr:col>
      <xdr:colOff>171450</xdr:colOff>
      <xdr:row>16</xdr:row>
      <xdr:rowOff>123825</xdr:rowOff>
    </xdr:to>
    <xdr:sp macro="" textlink="">
      <xdr:nvSpPr>
        <xdr:cNvPr id="4" name="AutoShape 2"/>
        <xdr:cNvSpPr>
          <a:spLocks noChangeArrowheads="1"/>
        </xdr:cNvSpPr>
      </xdr:nvSpPr>
      <xdr:spPr bwMode="auto">
        <a:xfrm rot="5400000" flipH="1">
          <a:off x="4521853" y="2064404"/>
          <a:ext cx="3324225" cy="2891118"/>
        </a:xfrm>
        <a:prstGeom prst="triangle">
          <a:avLst>
            <a:gd name="adj" fmla="val 50222"/>
          </a:avLst>
        </a:prstGeom>
        <a:solidFill>
          <a:srgbClr val="97BCE5"/>
        </a:solidFill>
        <a:ln w="38100">
          <a:solidFill>
            <a:srgbClr val="000000"/>
          </a:solidFill>
          <a:miter lim="800000"/>
          <a:headEnd/>
          <a:tailEnd/>
        </a:ln>
      </xdr:spPr>
    </xdr:sp>
    <xdr:clientData/>
  </xdr:twoCellAnchor>
  <xdr:twoCellAnchor>
    <xdr:from>
      <xdr:col>8</xdr:col>
      <xdr:colOff>153521</xdr:colOff>
      <xdr:row>10</xdr:row>
      <xdr:rowOff>222435</xdr:rowOff>
    </xdr:from>
    <xdr:to>
      <xdr:col>10</xdr:col>
      <xdr:colOff>593912</xdr:colOff>
      <xdr:row>12</xdr:row>
      <xdr:rowOff>89647</xdr:rowOff>
    </xdr:to>
    <xdr:sp macro="" textlink="">
      <xdr:nvSpPr>
        <xdr:cNvPr id="5" name="Text Box 3"/>
        <xdr:cNvSpPr txBox="1">
          <a:spLocks noChangeArrowheads="1"/>
        </xdr:cNvSpPr>
      </xdr:nvSpPr>
      <xdr:spPr bwMode="auto">
        <a:xfrm>
          <a:off x="4735046" y="3260910"/>
          <a:ext cx="2393016" cy="495862"/>
        </a:xfrm>
        <a:prstGeom prst="rect">
          <a:avLst/>
        </a:prstGeom>
        <a:noFill/>
        <a:ln w="9525">
          <a:noFill/>
          <a:miter lim="800000"/>
          <a:headEnd/>
          <a:tailEnd/>
        </a:ln>
      </xdr:spPr>
      <xdr:txBody>
        <a:bodyPr vertOverflow="clip" wrap="square" lIns="36576" tIns="27432" rIns="36576" bIns="0" anchor="t" upright="1"/>
        <a:lstStyle/>
        <a:p>
          <a:pPr algn="ctr" rtl="0">
            <a:defRPr sz="1000"/>
          </a:pPr>
          <a:r>
            <a:rPr lang="en-AU" sz="1200" b="1" i="0" u="none" strike="noStrike" baseline="0">
              <a:solidFill>
                <a:srgbClr val="000000"/>
              </a:solidFill>
              <a:latin typeface="Arial"/>
              <a:cs typeface="Arial"/>
            </a:rPr>
            <a:t>EXISTING PREVENTATIVE CONTROLS</a:t>
          </a:r>
        </a:p>
        <a:p>
          <a:pPr algn="ctr" rtl="0">
            <a:defRPr sz="1000"/>
          </a:pPr>
          <a:endParaRPr lang="en-AU" sz="1200" b="1" i="0" u="none" strike="noStrike" baseline="0">
            <a:solidFill>
              <a:srgbClr val="000000"/>
            </a:solidFill>
            <a:latin typeface="Arial"/>
            <a:cs typeface="Arial"/>
          </a:endParaRPr>
        </a:p>
        <a:p>
          <a:pPr algn="ctr" rtl="0">
            <a:defRPr sz="1000"/>
          </a:pPr>
          <a:endParaRPr lang="en-AU" sz="1200" b="1" i="0" u="none" strike="noStrike" baseline="0">
            <a:solidFill>
              <a:srgbClr val="000000"/>
            </a:solidFill>
            <a:latin typeface="Arial"/>
            <a:cs typeface="Arial"/>
          </a:endParaRPr>
        </a:p>
      </xdr:txBody>
    </xdr:sp>
    <xdr:clientData/>
  </xdr:twoCellAnchor>
  <xdr:twoCellAnchor>
    <xdr:from>
      <xdr:col>20</xdr:col>
      <xdr:colOff>282388</xdr:colOff>
      <xdr:row>10</xdr:row>
      <xdr:rowOff>177613</xdr:rowOff>
    </xdr:from>
    <xdr:to>
      <xdr:col>21</xdr:col>
      <xdr:colOff>255493</xdr:colOff>
      <xdr:row>12</xdr:row>
      <xdr:rowOff>56029</xdr:rowOff>
    </xdr:to>
    <xdr:sp macro="" textlink="">
      <xdr:nvSpPr>
        <xdr:cNvPr id="6" name="Text Box 4"/>
        <xdr:cNvSpPr txBox="1">
          <a:spLocks noChangeArrowheads="1"/>
        </xdr:cNvSpPr>
      </xdr:nvSpPr>
      <xdr:spPr bwMode="auto">
        <a:xfrm>
          <a:off x="11483788" y="3216088"/>
          <a:ext cx="1859055" cy="507066"/>
        </a:xfrm>
        <a:prstGeom prst="rect">
          <a:avLst/>
        </a:prstGeom>
        <a:noFill/>
        <a:ln w="9525">
          <a:noFill/>
          <a:miter lim="800000"/>
          <a:headEnd/>
          <a:tailEnd/>
        </a:ln>
      </xdr:spPr>
      <xdr:txBody>
        <a:bodyPr vertOverflow="clip" wrap="square" lIns="36576" tIns="27432" rIns="36576" bIns="0" anchor="t" upright="1"/>
        <a:lstStyle/>
        <a:p>
          <a:pPr algn="ctr" rtl="0">
            <a:defRPr sz="1000"/>
          </a:pPr>
          <a:r>
            <a:rPr lang="en-AU" sz="1200" b="1" i="0" u="none" strike="noStrike" baseline="0">
              <a:solidFill>
                <a:srgbClr val="000000"/>
              </a:solidFill>
              <a:latin typeface="Arial"/>
              <a:cs typeface="Arial"/>
            </a:rPr>
            <a:t>EXISTING MITIGATING CONTROLS</a:t>
          </a:r>
        </a:p>
        <a:p>
          <a:pPr algn="ctr" rtl="0">
            <a:defRPr sz="1000"/>
          </a:pPr>
          <a:r>
            <a:rPr lang="en-AU" sz="1200" b="1" i="0" u="none" strike="noStrike" baseline="0">
              <a:solidFill>
                <a:srgbClr val="000000"/>
              </a:solidFill>
              <a:latin typeface="Arial"/>
              <a:cs typeface="Arial"/>
            </a:rPr>
            <a:t> </a:t>
          </a:r>
        </a:p>
      </xdr:txBody>
    </xdr:sp>
    <xdr:clientData/>
  </xdr:twoCellAnchor>
  <xdr:twoCellAnchor>
    <xdr:from>
      <xdr:col>9</xdr:col>
      <xdr:colOff>217395</xdr:colOff>
      <xdr:row>14</xdr:row>
      <xdr:rowOff>240926</xdr:rowOff>
    </xdr:from>
    <xdr:to>
      <xdr:col>9</xdr:col>
      <xdr:colOff>806826</xdr:colOff>
      <xdr:row>19</xdr:row>
      <xdr:rowOff>247652</xdr:rowOff>
    </xdr:to>
    <xdr:sp macro="" textlink="">
      <xdr:nvSpPr>
        <xdr:cNvPr id="7" name="AutoShape 6"/>
        <xdr:cNvSpPr>
          <a:spLocks noChangeArrowheads="1"/>
        </xdr:cNvSpPr>
      </xdr:nvSpPr>
      <xdr:spPr bwMode="auto">
        <a:xfrm rot="5400000">
          <a:off x="5180760" y="5088311"/>
          <a:ext cx="1654551" cy="589431"/>
        </a:xfrm>
        <a:custGeom>
          <a:avLst/>
          <a:gdLst>
            <a:gd name="T0" fmla="*/ 621506 w 21600"/>
            <a:gd name="T1" fmla="*/ 0 h 21600"/>
            <a:gd name="T2" fmla="*/ 0 w 21600"/>
            <a:gd name="T3" fmla="*/ 385763 h 21600"/>
            <a:gd name="T4" fmla="*/ 621506 w 21600"/>
            <a:gd name="T5" fmla="*/ 771525 h 21600"/>
            <a:gd name="T6" fmla="*/ 828675 w 21600"/>
            <a:gd name="T7" fmla="*/ 385763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gradFill rotWithShape="1">
          <a:gsLst>
            <a:gs pos="0">
              <a:srgbClr val="8E8E8E"/>
            </a:gs>
            <a:gs pos="100000">
              <a:srgbClr val="000000"/>
            </a:gs>
          </a:gsLst>
          <a:lin ang="0" scaled="1"/>
        </a:gradFill>
        <a:ln w="9525">
          <a:solidFill>
            <a:srgbClr val="000000"/>
          </a:solidFill>
          <a:miter lim="800000"/>
          <a:headEnd/>
          <a:tailEnd/>
        </a:ln>
      </xdr:spPr>
    </xdr:sp>
    <xdr:clientData/>
  </xdr:twoCellAnchor>
  <xdr:twoCellAnchor>
    <xdr:from>
      <xdr:col>11</xdr:col>
      <xdr:colOff>224118</xdr:colOff>
      <xdr:row>7</xdr:row>
      <xdr:rowOff>190500</xdr:rowOff>
    </xdr:from>
    <xdr:to>
      <xdr:col>18</xdr:col>
      <xdr:colOff>112059</xdr:colOff>
      <xdr:row>14</xdr:row>
      <xdr:rowOff>336177</xdr:rowOff>
    </xdr:to>
    <xdr:sp macro="" textlink="">
      <xdr:nvSpPr>
        <xdr:cNvPr id="8" name="Rectangle 7"/>
        <xdr:cNvSpPr/>
      </xdr:nvSpPr>
      <xdr:spPr>
        <a:xfrm>
          <a:off x="7682193" y="2305050"/>
          <a:ext cx="2878791" cy="2307852"/>
        </a:xfrm>
        <a:prstGeom prst="rect">
          <a:avLst/>
        </a:prstGeom>
        <a:solidFill>
          <a:schemeClr val="accent2">
            <a:lumMod val="40000"/>
            <a:lumOff val="60000"/>
            <a:alpha val="17000"/>
          </a:schemeClr>
        </a:solidFill>
        <a:ln>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AU" sz="1800" b="1">
              <a:solidFill>
                <a:srgbClr val="FF0000"/>
              </a:solidFill>
              <a:latin typeface="Arial" pitchFamily="34" charset="0"/>
              <a:cs typeface="Arial" pitchFamily="34" charset="0"/>
            </a:rPr>
            <a:t>Event</a:t>
          </a:r>
        </a:p>
      </xdr:txBody>
    </xdr:sp>
    <xdr:clientData/>
  </xdr:twoCellAnchor>
  <xdr:twoCellAnchor>
    <xdr:from>
      <xdr:col>20</xdr:col>
      <xdr:colOff>750795</xdr:colOff>
      <xdr:row>14</xdr:row>
      <xdr:rowOff>291354</xdr:rowOff>
    </xdr:from>
    <xdr:to>
      <xdr:col>20</xdr:col>
      <xdr:colOff>1340226</xdr:colOff>
      <xdr:row>19</xdr:row>
      <xdr:rowOff>247652</xdr:rowOff>
    </xdr:to>
    <xdr:sp macro="" textlink="">
      <xdr:nvSpPr>
        <xdr:cNvPr id="9" name="AutoShape 6"/>
        <xdr:cNvSpPr>
          <a:spLocks noChangeArrowheads="1"/>
        </xdr:cNvSpPr>
      </xdr:nvSpPr>
      <xdr:spPr bwMode="auto">
        <a:xfrm rot="5400000">
          <a:off x="11444849" y="5113525"/>
          <a:ext cx="1604123" cy="589431"/>
        </a:xfrm>
        <a:custGeom>
          <a:avLst/>
          <a:gdLst>
            <a:gd name="T0" fmla="*/ 621506 w 21600"/>
            <a:gd name="T1" fmla="*/ 0 h 21600"/>
            <a:gd name="T2" fmla="*/ 0 w 21600"/>
            <a:gd name="T3" fmla="*/ 385763 h 21600"/>
            <a:gd name="T4" fmla="*/ 621506 w 21600"/>
            <a:gd name="T5" fmla="*/ 771525 h 21600"/>
            <a:gd name="T6" fmla="*/ 828675 w 21600"/>
            <a:gd name="T7" fmla="*/ 385763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gradFill rotWithShape="1">
          <a:gsLst>
            <a:gs pos="0">
              <a:srgbClr val="8E8E8E"/>
            </a:gs>
            <a:gs pos="100000">
              <a:srgbClr val="000000"/>
            </a:gs>
          </a:gsLst>
          <a:lin ang="0" scaled="1"/>
        </a:gradFill>
        <a:ln w="9525">
          <a:solidFill>
            <a:srgbClr val="000000"/>
          </a:solidFill>
          <a:miter lim="800000"/>
          <a:headEnd/>
          <a:tailEnd/>
        </a:ln>
      </xdr:spPr>
    </xdr:sp>
    <xdr:clientData/>
  </xdr:twoCellAnchor>
  <xdr:twoCellAnchor>
    <xdr:from>
      <xdr:col>13</xdr:col>
      <xdr:colOff>414616</xdr:colOff>
      <xdr:row>10</xdr:row>
      <xdr:rowOff>44825</xdr:rowOff>
    </xdr:from>
    <xdr:to>
      <xdr:col>17</xdr:col>
      <xdr:colOff>112057</xdr:colOff>
      <xdr:row>13</xdr:row>
      <xdr:rowOff>67237</xdr:rowOff>
    </xdr:to>
    <xdr:sp macro="" textlink="">
      <xdr:nvSpPr>
        <xdr:cNvPr id="10" name="Text Box 25"/>
        <xdr:cNvSpPr txBox="1">
          <a:spLocks noChangeArrowheads="1"/>
        </xdr:cNvSpPr>
      </xdr:nvSpPr>
      <xdr:spPr bwMode="auto">
        <a:xfrm>
          <a:off x="8282266" y="3083300"/>
          <a:ext cx="2154891" cy="946337"/>
        </a:xfrm>
        <a:prstGeom prst="rect">
          <a:avLst/>
        </a:prstGeom>
        <a:solidFill>
          <a:srgbClr val="FFFFFF">
            <a:alpha val="0"/>
          </a:srgbClr>
        </a:solidFill>
        <a:ln w="9525">
          <a:solidFill>
            <a:srgbClr val="000000">
              <a:alpha val="0"/>
            </a:srgbClr>
          </a:solidFill>
          <a:miter lim="800000"/>
          <a:headEnd/>
          <a:tailEnd/>
        </a:ln>
      </xdr:spPr>
      <xdr:txBody>
        <a:bodyPr vertOverflow="clip" wrap="square" lIns="27432" tIns="22860" rIns="0" bIns="0" anchor="t" upright="1"/>
        <a:lstStyle/>
        <a:p>
          <a:pPr algn="l" rtl="0">
            <a:defRPr sz="1000"/>
          </a:pPr>
          <a:r>
            <a:rPr lang="en-AU" sz="1800" b="1" i="0" u="none" strike="noStrike" baseline="0">
              <a:solidFill>
                <a:srgbClr val="000000"/>
              </a:solidFill>
              <a:latin typeface="Arial"/>
              <a:cs typeface="Arial"/>
            </a:rPr>
            <a:t>Incident during Lifting operation</a:t>
          </a:r>
        </a:p>
      </xdr:txBody>
    </xdr:sp>
    <xdr:clientData/>
  </xdr:twoCellAnchor>
  <xdr:twoCellAnchor>
    <xdr:from>
      <xdr:col>10</xdr:col>
      <xdr:colOff>686311</xdr:colOff>
      <xdr:row>1</xdr:row>
      <xdr:rowOff>287828</xdr:rowOff>
    </xdr:from>
    <xdr:to>
      <xdr:col>20</xdr:col>
      <xdr:colOff>900861</xdr:colOff>
      <xdr:row>5</xdr:row>
      <xdr:rowOff>63710</xdr:rowOff>
    </xdr:to>
    <xdr:sp macro="" textlink="">
      <xdr:nvSpPr>
        <xdr:cNvPr id="11" name="TextBox 10"/>
        <xdr:cNvSpPr txBox="1"/>
      </xdr:nvSpPr>
      <xdr:spPr>
        <a:xfrm rot="20654392">
          <a:off x="7241752" y="646416"/>
          <a:ext cx="4876197" cy="840441"/>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b="1">
              <a:solidFill>
                <a:srgbClr val="FF0000"/>
              </a:solidFill>
            </a:rPr>
            <a:t>BOW-TIE EXAMPLE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WINDOWS\TEMP\Functional%20cost%20templ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uksrv07\lon-wgp\Liverpool%20Bay\Liv%20Bay%20SubSurface%20Team\Well%20Management\Forecast\Medium%20Term%20Forecast\Forecast%2018%20Month%20-%20December%202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etpoa-svr01\poa-wgp\Development%20and%20Planning\Documents\Operations%20Lifecycle%20Plan\Rev%202\Archive\Liftingcos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etpoa-svr01\poa-wgp\Development%20and%20Planning\Tools%20&amp;%20Utilities\Financial%20Mode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etlon-data02\lon-wgp\Liverpool%20Bay\Liv%20Bay%20SubSurface%20Team\Well%20Management\Forecast\Medium%20Term%20Forecast\Forecast%2018%20Month%20-%20December%2020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etpoa-svr01\poa-wgp\Development%20and%20Planning\Documents\Operations%20Lifecycle%20Plan\Rev%202\Archive\2002OpexBudgetForecast_Rev2-%20For%20Us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etlon-data02\lon-wgp\Liverpool%20Bay\Liv%20Bay%20SubSurface%20Team\Well%20Management\Forecast\Production\Douglas%20Forecast%20using%20Monthly%20Allocated%20Volum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etlon-data02\lon-wgp\Liverpool%20Bay\Liv%20Bay%20SubSurface%20Team\Well%20Management\Forecast\Medium%20Term%20Forecast\March%202002\Douglas%20Forecast%20using%20Monthly%20Allocated%20Volum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raa.bhpbilliton.net/Development%20and%20Planning/Documents/Operations%20Lifecycle%20Plan/Rev%203/Files/OpexModelRev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s>
    <sheetDataSet>
      <sheetData sheetId="0" refreshError="1">
        <row r="26">
          <cell r="G26">
            <v>0.3947</v>
          </cell>
        </row>
        <row r="27">
          <cell r="G27">
            <v>0.371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l Assumptions"/>
      <sheetName val="DW Adj  Well Del Forecast"/>
      <sheetName val="DW Unadj Well Del Forecast"/>
      <sheetName val="Case 0"/>
      <sheetName val="Case 1"/>
      <sheetName val="Case 2"/>
      <sheetName val="Monthly Summary"/>
      <sheetName val="Facility Assumptions"/>
      <sheetName val="D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fting Costs"/>
      <sheetName val="Lifting Costs Graph"/>
      <sheetName val="Lifting cost Opex Requirements"/>
    </sheetNames>
    <sheetDataSet>
      <sheetData sheetId="0" refreshError="1">
        <row r="3">
          <cell r="A3" t="str">
            <v>scf to cubic m</v>
          </cell>
          <cell r="B3">
            <v>2.8316999999999998E-2</v>
          </cell>
        </row>
        <row r="4">
          <cell r="B4">
            <v>5985</v>
          </cell>
        </row>
        <row r="5">
          <cell r="B5">
            <v>1.46</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E SELECTOR"/>
      <sheetName val="INTRODUCTION"/>
      <sheetName val="PROTOCOL"/>
      <sheetName val="RESULTS LOG"/>
      <sheetName val="SAM DATA"/>
      <sheetName val="RESERVE OUTPUT"/>
      <sheetName val="PvAR (GBP)"/>
      <sheetName val="PvAR (USD)"/>
      <sheetName val="MODEL"/>
      <sheetName val="INC_P1"/>
      <sheetName val="INC_P2"/>
      <sheetName val="LB02"/>
      <sheetName val="LB03"/>
      <sheetName val="LB03SEP02"/>
      <sheetName val="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W Adj  Well Del Forecast"/>
      <sheetName val="DW Unadj Well Del Forecast"/>
      <sheetName val="Case 0"/>
      <sheetName val="Case 1"/>
      <sheetName val="Case 2"/>
      <sheetName val="Monthly Summary"/>
      <sheetName val="Well Assumptions"/>
      <sheetName val="Facility Assumptions"/>
      <sheetName val="D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ingArray"/>
      <sheetName val="Rev Status"/>
      <sheetName val="Summary"/>
      <sheetName val="Do Nothing OPEX Forecast"/>
      <sheetName val="Wells Forecast"/>
      <sheetName val="All Opex Profiles"/>
      <sheetName val="G&amp;ALifeCycleEstimate Expected"/>
      <sheetName val="Pipelines"/>
      <sheetName val="PipelineOpsBudgetLifecycle"/>
      <sheetName val="WellOperationsLifecycleEstimate"/>
      <sheetName val="Fiscal Year Opex Forecast"/>
      <sheetName val="Calendar Year Opex Forecast"/>
      <sheetName val="CostDistribution 2003"/>
      <sheetName val="CostDistribution 2007"/>
      <sheetName val="CostDistribution 2011"/>
      <sheetName val="Lifting Costs Graph _Expected"/>
      <sheetName val="Lifting Costs Graph Realistic"/>
      <sheetName val="Lifting cost Opex Requirements"/>
      <sheetName val="Opex Forecast-6 monthly"/>
      <sheetName val="Lifting Costs"/>
      <sheetName val="Opex Forecast yearly"/>
      <sheetName val="ChemicalBudgetLifecycleEstimate"/>
      <sheetName val="G&amp;ALifeCycleEstimate-Tail Mods"/>
      <sheetName val="RateProfiles"/>
      <sheetName val="ESP Rental Forecast Opex"/>
      <sheetName val="Maintenance Events"/>
      <sheetName val="ESP rental calculation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01"/>
      <sheetName val="D02"/>
      <sheetName val="D05"/>
      <sheetName val="D07"/>
      <sheetName val="D08"/>
      <sheetName val="D11"/>
      <sheetName val="D12"/>
      <sheetName val="D15"/>
      <sheetName val="D16"/>
      <sheetName val="D17"/>
      <sheetName val="D18"/>
      <sheetName val="D19"/>
      <sheetName val="D20"/>
      <sheetName val="DW Field Forecast"/>
      <sheetName val="Actual Data"/>
      <sheetName val="Forecast Data"/>
      <sheetName val="Freq vs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32">
          <cell r="A232">
            <v>35095</v>
          </cell>
          <cell r="B232">
            <v>0</v>
          </cell>
          <cell r="C232">
            <v>0</v>
          </cell>
          <cell r="D232">
            <v>0</v>
          </cell>
          <cell r="E232">
            <v>0</v>
          </cell>
          <cell r="F232">
            <v>0</v>
          </cell>
          <cell r="G232">
            <v>1570.7725806451601</v>
          </cell>
          <cell r="H232">
            <v>0</v>
          </cell>
          <cell r="I232">
            <v>0</v>
          </cell>
          <cell r="J232">
            <v>0</v>
          </cell>
          <cell r="K232">
            <v>0</v>
          </cell>
          <cell r="L232">
            <v>0</v>
          </cell>
        </row>
        <row r="233">
          <cell r="A233">
            <v>35124</v>
          </cell>
          <cell r="B233">
            <v>0</v>
          </cell>
          <cell r="C233">
            <v>0</v>
          </cell>
          <cell r="D233">
            <v>260.99482758620701</v>
          </cell>
          <cell r="E233">
            <v>0</v>
          </cell>
          <cell r="F233">
            <v>0</v>
          </cell>
          <cell r="G233">
            <v>1742.3327586206901</v>
          </cell>
          <cell r="H233">
            <v>0</v>
          </cell>
          <cell r="I233">
            <v>0</v>
          </cell>
          <cell r="J233">
            <v>0</v>
          </cell>
          <cell r="K233">
            <v>0</v>
          </cell>
          <cell r="L233">
            <v>0</v>
          </cell>
        </row>
        <row r="234">
          <cell r="A234">
            <v>35155</v>
          </cell>
          <cell r="B234">
            <v>2220.4916129032304</v>
          </cell>
          <cell r="C234">
            <v>516.03258064516103</v>
          </cell>
          <cell r="D234">
            <v>2429.2512903225802</v>
          </cell>
          <cell r="E234">
            <v>0</v>
          </cell>
          <cell r="F234">
            <v>859.14870967741911</v>
          </cell>
          <cell r="G234">
            <v>2695.1187096774197</v>
          </cell>
          <cell r="H234">
            <v>0</v>
          </cell>
          <cell r="I234">
            <v>0</v>
          </cell>
          <cell r="J234">
            <v>0</v>
          </cell>
          <cell r="K234">
            <v>0</v>
          </cell>
          <cell r="L234">
            <v>0</v>
          </cell>
        </row>
        <row r="235">
          <cell r="A235">
            <v>35185</v>
          </cell>
          <cell r="B235">
            <v>4889.4626666666691</v>
          </cell>
          <cell r="C235">
            <v>3367.759</v>
          </cell>
          <cell r="D235">
            <v>5932.0146666666697</v>
          </cell>
          <cell r="E235">
            <v>1117.4463333333301</v>
          </cell>
          <cell r="F235">
            <v>7102.7163333333301</v>
          </cell>
          <cell r="G235">
            <v>3628.0630000000001</v>
          </cell>
          <cell r="H235">
            <v>0</v>
          </cell>
          <cell r="I235">
            <v>0</v>
          </cell>
          <cell r="J235">
            <v>0</v>
          </cell>
          <cell r="K235">
            <v>0</v>
          </cell>
          <cell r="L235">
            <v>0</v>
          </cell>
        </row>
        <row r="236">
          <cell r="A236">
            <v>35216</v>
          </cell>
          <cell r="B236">
            <v>2471.8951612903202</v>
          </cell>
          <cell r="C236">
            <v>1912.6241935483899</v>
          </cell>
          <cell r="D236">
            <v>4094.6941935483906</v>
          </cell>
          <cell r="E236">
            <v>982.24516129032315</v>
          </cell>
          <cell r="F236">
            <v>5776.7667741935502</v>
          </cell>
          <cell r="G236">
            <v>861.80193548387103</v>
          </cell>
          <cell r="H236">
            <v>0</v>
          </cell>
          <cell r="I236">
            <v>0</v>
          </cell>
          <cell r="J236">
            <v>0</v>
          </cell>
          <cell r="K236">
            <v>0</v>
          </cell>
          <cell r="L236">
            <v>0</v>
          </cell>
        </row>
        <row r="237">
          <cell r="A237">
            <v>35246</v>
          </cell>
          <cell r="B237">
            <v>3021.5373333333296</v>
          </cell>
          <cell r="C237">
            <v>1336.4453333333302</v>
          </cell>
          <cell r="D237">
            <v>2127.3986666666701</v>
          </cell>
          <cell r="E237">
            <v>1476.2916666666702</v>
          </cell>
          <cell r="F237">
            <v>1588.4826666666702</v>
          </cell>
          <cell r="G237">
            <v>110.529333333333</v>
          </cell>
          <cell r="H237">
            <v>0</v>
          </cell>
          <cell r="I237">
            <v>0</v>
          </cell>
          <cell r="J237">
            <v>0</v>
          </cell>
          <cell r="K237">
            <v>0</v>
          </cell>
          <cell r="L237">
            <v>0</v>
          </cell>
        </row>
        <row r="238">
          <cell r="A238">
            <v>35277</v>
          </cell>
          <cell r="B238">
            <v>337.60483870967704</v>
          </cell>
          <cell r="C238">
            <v>390.74387096774205</v>
          </cell>
          <cell r="D238">
            <v>0</v>
          </cell>
          <cell r="E238">
            <v>760.82225806451606</v>
          </cell>
          <cell r="F238">
            <v>1257.4361290322602</v>
          </cell>
          <cell r="G238">
            <v>0</v>
          </cell>
          <cell r="H238">
            <v>0</v>
          </cell>
          <cell r="I238">
            <v>0</v>
          </cell>
          <cell r="J238">
            <v>0</v>
          </cell>
          <cell r="K238">
            <v>0</v>
          </cell>
          <cell r="L238">
            <v>0</v>
          </cell>
        </row>
        <row r="239">
          <cell r="A239">
            <v>35308</v>
          </cell>
          <cell r="B239">
            <v>3027.1532258064503</v>
          </cell>
          <cell r="C239">
            <v>4079.9441935483906</v>
          </cell>
          <cell r="D239">
            <v>92.1064516129032</v>
          </cell>
          <cell r="E239">
            <v>2232.1864516128999</v>
          </cell>
          <cell r="F239">
            <v>2152.9135483871</v>
          </cell>
          <cell r="G239">
            <v>0</v>
          </cell>
          <cell r="H239">
            <v>0</v>
          </cell>
          <cell r="I239">
            <v>0</v>
          </cell>
          <cell r="J239">
            <v>0</v>
          </cell>
          <cell r="K239">
            <v>0</v>
          </cell>
          <cell r="L239">
            <v>0</v>
          </cell>
        </row>
        <row r="240">
          <cell r="A240">
            <v>35338</v>
          </cell>
          <cell r="B240">
            <v>5957.39</v>
          </cell>
          <cell r="C240">
            <v>3838.665</v>
          </cell>
          <cell r="D240">
            <v>458.64933333333306</v>
          </cell>
          <cell r="E240">
            <v>1817.2336666666702</v>
          </cell>
          <cell r="F240">
            <v>620.16433333333305</v>
          </cell>
          <cell r="G240">
            <v>0</v>
          </cell>
          <cell r="H240">
            <v>0</v>
          </cell>
          <cell r="I240">
            <v>0</v>
          </cell>
          <cell r="J240">
            <v>0</v>
          </cell>
          <cell r="K240">
            <v>0</v>
          </cell>
          <cell r="L240">
            <v>0</v>
          </cell>
        </row>
        <row r="241">
          <cell r="A241">
            <v>35369</v>
          </cell>
          <cell r="B241">
            <v>7332.0403225806504</v>
          </cell>
          <cell r="C241">
            <v>4410.5396774193505</v>
          </cell>
          <cell r="D241">
            <v>8039.07</v>
          </cell>
          <cell r="E241">
            <v>2478.2064516128999</v>
          </cell>
          <cell r="F241">
            <v>6764.9332258064505</v>
          </cell>
          <cell r="G241">
            <v>5684.66612903226</v>
          </cell>
          <cell r="H241">
            <v>0</v>
          </cell>
          <cell r="I241">
            <v>0</v>
          </cell>
          <cell r="J241">
            <v>0</v>
          </cell>
          <cell r="K241">
            <v>0</v>
          </cell>
          <cell r="L241">
            <v>0</v>
          </cell>
        </row>
        <row r="242">
          <cell r="A242">
            <v>35399</v>
          </cell>
          <cell r="B242">
            <v>6309.0003333333307</v>
          </cell>
          <cell r="C242">
            <v>3906.864</v>
          </cell>
          <cell r="D242">
            <v>6615.2973333333302</v>
          </cell>
          <cell r="E242">
            <v>3430.6403333333296</v>
          </cell>
          <cell r="F242">
            <v>7912.8753333333307</v>
          </cell>
          <cell r="G242">
            <v>7806.3883333333306</v>
          </cell>
          <cell r="H242">
            <v>0</v>
          </cell>
          <cell r="I242">
            <v>0</v>
          </cell>
          <cell r="J242">
            <v>0</v>
          </cell>
          <cell r="K242">
            <v>0</v>
          </cell>
          <cell r="L242">
            <v>0</v>
          </cell>
        </row>
        <row r="243">
          <cell r="A243">
            <v>35430</v>
          </cell>
          <cell r="B243">
            <v>2949.3322580645158</v>
          </cell>
          <cell r="C243">
            <v>4255.3045161290302</v>
          </cell>
          <cell r="D243">
            <v>7292.4141935483913</v>
          </cell>
          <cell r="E243">
            <v>2306.8819354838752</v>
          </cell>
          <cell r="F243">
            <v>4999.4729032258101</v>
          </cell>
          <cell r="G243">
            <v>5520.1061290322623</v>
          </cell>
          <cell r="H243">
            <v>0</v>
          </cell>
          <cell r="I243">
            <v>0</v>
          </cell>
          <cell r="J243">
            <v>0</v>
          </cell>
          <cell r="K243">
            <v>0</v>
          </cell>
          <cell r="L243">
            <v>0</v>
          </cell>
        </row>
        <row r="244">
          <cell r="A244">
            <v>35461</v>
          </cell>
          <cell r="B244">
            <v>2.5251612903225769</v>
          </cell>
          <cell r="C244">
            <v>4073.6961290322602</v>
          </cell>
          <cell r="D244">
            <v>5060.2012903225823</v>
          </cell>
          <cell r="E244">
            <v>2647.2351612903203</v>
          </cell>
          <cell r="F244">
            <v>7015.9390322580603</v>
          </cell>
          <cell r="G244">
            <v>4119.5506451612919</v>
          </cell>
          <cell r="H244">
            <v>0</v>
          </cell>
          <cell r="I244">
            <v>0</v>
          </cell>
          <cell r="J244">
            <v>0</v>
          </cell>
          <cell r="K244">
            <v>0</v>
          </cell>
          <cell r="L244">
            <v>0</v>
          </cell>
        </row>
        <row r="245">
          <cell r="A245">
            <v>35489</v>
          </cell>
          <cell r="B245">
            <v>0</v>
          </cell>
          <cell r="C245">
            <v>3729.5875000000001</v>
          </cell>
          <cell r="D245">
            <v>6288.6485714285691</v>
          </cell>
          <cell r="E245">
            <v>3098.9646428571405</v>
          </cell>
          <cell r="F245">
            <v>7353.3796428571432</v>
          </cell>
          <cell r="G245">
            <v>4610.2046428571457</v>
          </cell>
          <cell r="H245">
            <v>4902.9225000000006</v>
          </cell>
          <cell r="I245">
            <v>0</v>
          </cell>
          <cell r="J245">
            <v>0</v>
          </cell>
          <cell r="K245">
            <v>0</v>
          </cell>
          <cell r="L245">
            <v>0</v>
          </cell>
        </row>
        <row r="246">
          <cell r="A246">
            <v>35520</v>
          </cell>
          <cell r="B246">
            <v>0</v>
          </cell>
          <cell r="C246">
            <v>4302.2948387096803</v>
          </cell>
          <cell r="D246">
            <v>8491.1387096774179</v>
          </cell>
          <cell r="E246">
            <v>3637.2709677419389</v>
          </cell>
          <cell r="F246">
            <v>8787.9832258064562</v>
          </cell>
          <cell r="G246">
            <v>1775.0441935483846</v>
          </cell>
          <cell r="H246">
            <v>7702.6303225806505</v>
          </cell>
          <cell r="I246">
            <v>739.08741935483897</v>
          </cell>
          <cell r="J246">
            <v>0</v>
          </cell>
          <cell r="K246">
            <v>0</v>
          </cell>
          <cell r="L246">
            <v>0</v>
          </cell>
        </row>
        <row r="247">
          <cell r="A247">
            <v>35550</v>
          </cell>
          <cell r="B247">
            <v>2090.0043333333333</v>
          </cell>
          <cell r="C247">
            <v>0</v>
          </cell>
          <cell r="D247">
            <v>11903.437666666699</v>
          </cell>
          <cell r="E247">
            <v>4146.3549999999968</v>
          </cell>
          <cell r="F247">
            <v>10182.555000000033</v>
          </cell>
          <cell r="G247">
            <v>921.67699999999968</v>
          </cell>
          <cell r="H247">
            <v>13799.230666666699</v>
          </cell>
          <cell r="I247">
            <v>6234.3050000000003</v>
          </cell>
          <cell r="J247">
            <v>0</v>
          </cell>
          <cell r="K247">
            <v>0</v>
          </cell>
          <cell r="L247">
            <v>0</v>
          </cell>
        </row>
        <row r="248">
          <cell r="A248">
            <v>35581</v>
          </cell>
          <cell r="B248">
            <v>8683.8874193548345</v>
          </cell>
          <cell r="C248">
            <v>0</v>
          </cell>
          <cell r="D248">
            <v>11321.165483870956</v>
          </cell>
          <cell r="E248">
            <v>4532.1132258064517</v>
          </cell>
          <cell r="F248">
            <v>2422.9435483871011</v>
          </cell>
          <cell r="G248">
            <v>5974.3809677419404</v>
          </cell>
          <cell r="H248">
            <v>13871.021935483901</v>
          </cell>
          <cell r="I248">
            <v>5331.1258064516105</v>
          </cell>
          <cell r="J248">
            <v>0</v>
          </cell>
          <cell r="K248">
            <v>0</v>
          </cell>
          <cell r="L248">
            <v>0</v>
          </cell>
        </row>
        <row r="249">
          <cell r="A249">
            <v>35611</v>
          </cell>
          <cell r="B249">
            <v>7810.8993333333301</v>
          </cell>
          <cell r="C249">
            <v>0</v>
          </cell>
          <cell r="D249">
            <v>10028.129333333334</v>
          </cell>
          <cell r="E249">
            <v>4083.8190000000036</v>
          </cell>
          <cell r="F249">
            <v>1969.4126666666634</v>
          </cell>
          <cell r="G249">
            <v>5369.8146666666635</v>
          </cell>
          <cell r="H249">
            <v>10954.368</v>
          </cell>
          <cell r="I249">
            <v>3657.0880000000002</v>
          </cell>
          <cell r="J249">
            <v>0</v>
          </cell>
          <cell r="K249">
            <v>0</v>
          </cell>
          <cell r="L249">
            <v>0</v>
          </cell>
        </row>
        <row r="250">
          <cell r="A250">
            <v>35642</v>
          </cell>
          <cell r="B250">
            <v>2009.817741935479</v>
          </cell>
          <cell r="C250">
            <v>0</v>
          </cell>
          <cell r="D250">
            <v>7144.768387096773</v>
          </cell>
          <cell r="E250">
            <v>4459.5629032258039</v>
          </cell>
          <cell r="F250">
            <v>2103.3577419354874</v>
          </cell>
          <cell r="G250">
            <v>6066.2996774193598</v>
          </cell>
          <cell r="H250">
            <v>12004.7038709677</v>
          </cell>
          <cell r="I250">
            <v>6437.5016129032219</v>
          </cell>
          <cell r="J250">
            <v>0</v>
          </cell>
          <cell r="K250">
            <v>0</v>
          </cell>
          <cell r="L250">
            <v>0</v>
          </cell>
        </row>
        <row r="251">
          <cell r="A251">
            <v>35673</v>
          </cell>
          <cell r="B251">
            <v>2413.5416129032269</v>
          </cell>
          <cell r="C251">
            <v>0</v>
          </cell>
          <cell r="D251">
            <v>3361.2345161290364</v>
          </cell>
          <cell r="E251">
            <v>3323.4919354838712</v>
          </cell>
          <cell r="F251">
            <v>1598.042903225806</v>
          </cell>
          <cell r="G251">
            <v>595.14548387096806</v>
          </cell>
          <cell r="H251">
            <v>10190.808064516101</v>
          </cell>
          <cell r="I251">
            <v>4944.4425806451609</v>
          </cell>
          <cell r="J251">
            <v>0</v>
          </cell>
          <cell r="K251">
            <v>0</v>
          </cell>
          <cell r="L251">
            <v>0</v>
          </cell>
        </row>
        <row r="252">
          <cell r="A252">
            <v>35703</v>
          </cell>
          <cell r="B252">
            <v>4047.1686666666674</v>
          </cell>
          <cell r="C252">
            <v>0</v>
          </cell>
          <cell r="D252">
            <v>7793.2500000000009</v>
          </cell>
          <cell r="E252">
            <v>2921.8729999999964</v>
          </cell>
          <cell r="F252">
            <v>191.98966666666698</v>
          </cell>
          <cell r="G252">
            <v>0</v>
          </cell>
          <cell r="H252">
            <v>9139.238333333331</v>
          </cell>
          <cell r="I252">
            <v>1167.1116666666667</v>
          </cell>
          <cell r="J252">
            <v>0</v>
          </cell>
          <cell r="K252">
            <v>0</v>
          </cell>
          <cell r="L252">
            <v>0</v>
          </cell>
        </row>
        <row r="253">
          <cell r="A253">
            <v>35734</v>
          </cell>
          <cell r="B253">
            <v>6279.1838709677404</v>
          </cell>
          <cell r="C253">
            <v>0</v>
          </cell>
          <cell r="D253">
            <v>12570.16774193544</v>
          </cell>
          <cell r="E253">
            <v>4596.6167741935442</v>
          </cell>
          <cell r="F253">
            <v>124.092903225806</v>
          </cell>
          <cell r="G253">
            <v>0</v>
          </cell>
          <cell r="H253">
            <v>11282.66419354836</v>
          </cell>
          <cell r="I253">
            <v>0</v>
          </cell>
          <cell r="J253">
            <v>0</v>
          </cell>
          <cell r="K253">
            <v>0</v>
          </cell>
          <cell r="L253">
            <v>0</v>
          </cell>
        </row>
        <row r="254">
          <cell r="A254">
            <v>35764</v>
          </cell>
          <cell r="B254">
            <v>6960.4566666666688</v>
          </cell>
          <cell r="C254">
            <v>0</v>
          </cell>
          <cell r="D254">
            <v>13100.714999999971</v>
          </cell>
          <cell r="E254">
            <v>4780.0259999999971</v>
          </cell>
          <cell r="F254">
            <v>0</v>
          </cell>
          <cell r="G254">
            <v>0</v>
          </cell>
          <cell r="H254">
            <v>15813.726666666633</v>
          </cell>
          <cell r="I254">
            <v>283.3829999999997</v>
          </cell>
          <cell r="J254">
            <v>0</v>
          </cell>
          <cell r="K254">
            <v>0</v>
          </cell>
          <cell r="L254">
            <v>0</v>
          </cell>
        </row>
        <row r="255">
          <cell r="A255">
            <v>35795</v>
          </cell>
          <cell r="B255">
            <v>7057.9367741935494</v>
          </cell>
          <cell r="C255">
            <v>0</v>
          </cell>
          <cell r="D255">
            <v>12320.403548387099</v>
          </cell>
          <cell r="E255">
            <v>4321.3693548387091</v>
          </cell>
          <cell r="F255">
            <v>5391.1832258064505</v>
          </cell>
          <cell r="G255">
            <v>0</v>
          </cell>
          <cell r="H255">
            <v>15107.06838709681</v>
          </cell>
          <cell r="I255">
            <v>1427.8387096774243</v>
          </cell>
          <cell r="J255">
            <v>0</v>
          </cell>
          <cell r="K255">
            <v>0</v>
          </cell>
          <cell r="L255">
            <v>0</v>
          </cell>
        </row>
        <row r="256">
          <cell r="A256">
            <v>35826</v>
          </cell>
          <cell r="B256">
            <v>5551.2293548387106</v>
          </cell>
          <cell r="C256">
            <v>0</v>
          </cell>
          <cell r="D256">
            <v>10799.541290322581</v>
          </cell>
          <cell r="E256">
            <v>3488.1367741935469</v>
          </cell>
          <cell r="F256">
            <v>11756.229354838699</v>
          </cell>
          <cell r="G256">
            <v>0</v>
          </cell>
          <cell r="H256">
            <v>12445.57806451609</v>
          </cell>
          <cell r="I256">
            <v>269.19129032258041</v>
          </cell>
          <cell r="J256">
            <v>0</v>
          </cell>
          <cell r="K256">
            <v>0</v>
          </cell>
          <cell r="L256">
            <v>0</v>
          </cell>
        </row>
        <row r="257">
          <cell r="A257">
            <v>35854</v>
          </cell>
          <cell r="B257">
            <v>4564.6553571428603</v>
          </cell>
          <cell r="C257">
            <v>0</v>
          </cell>
          <cell r="D257">
            <v>5840.2889285714309</v>
          </cell>
          <cell r="E257">
            <v>3883.8814285714302</v>
          </cell>
          <cell r="F257">
            <v>13356.5689285714</v>
          </cell>
          <cell r="G257">
            <v>0</v>
          </cell>
          <cell r="H257">
            <v>14133.935000000041</v>
          </cell>
          <cell r="I257">
            <v>92.568928571428543</v>
          </cell>
          <cell r="J257">
            <v>0</v>
          </cell>
          <cell r="K257">
            <v>0</v>
          </cell>
          <cell r="L257">
            <v>0</v>
          </cell>
        </row>
        <row r="258">
          <cell r="A258">
            <v>35885</v>
          </cell>
          <cell r="B258">
            <v>0</v>
          </cell>
          <cell r="C258">
            <v>0</v>
          </cell>
          <cell r="D258">
            <v>194.09870967741981</v>
          </cell>
          <cell r="E258">
            <v>3624.6396774193549</v>
          </cell>
          <cell r="F258">
            <v>12584.463548387101</v>
          </cell>
          <cell r="G258">
            <v>0</v>
          </cell>
          <cell r="H258">
            <v>13247.946774193511</v>
          </cell>
          <cell r="I258">
            <v>0</v>
          </cell>
          <cell r="J258">
            <v>0</v>
          </cell>
          <cell r="K258">
            <v>0</v>
          </cell>
          <cell r="L258">
            <v>0</v>
          </cell>
        </row>
        <row r="259">
          <cell r="A259">
            <v>35915</v>
          </cell>
          <cell r="B259">
            <v>0</v>
          </cell>
          <cell r="C259">
            <v>1511.809</v>
          </cell>
          <cell r="D259">
            <v>6421.8306666666676</v>
          </cell>
          <cell r="E259">
            <v>2185.0156666666703</v>
          </cell>
          <cell r="F259">
            <v>12552.954666666667</v>
          </cell>
          <cell r="G259">
            <v>448.81566666666703</v>
          </cell>
          <cell r="H259">
            <v>14372.904666666669</v>
          </cell>
          <cell r="I259">
            <v>0</v>
          </cell>
          <cell r="J259">
            <v>0</v>
          </cell>
          <cell r="K259">
            <v>0</v>
          </cell>
          <cell r="L259">
            <v>0</v>
          </cell>
        </row>
        <row r="260">
          <cell r="A260">
            <v>35946</v>
          </cell>
          <cell r="B260">
            <v>3835.5983870967711</v>
          </cell>
          <cell r="C260">
            <v>7496.09741935484</v>
          </cell>
          <cell r="D260">
            <v>11112.092580645161</v>
          </cell>
          <cell r="E260">
            <v>0</v>
          </cell>
          <cell r="F260">
            <v>6564.6396774193563</v>
          </cell>
          <cell r="G260">
            <v>6492.353548387091</v>
          </cell>
          <cell r="H260">
            <v>13018.604193548392</v>
          </cell>
          <cell r="I260">
            <v>0</v>
          </cell>
          <cell r="J260">
            <v>0</v>
          </cell>
          <cell r="K260">
            <v>0</v>
          </cell>
          <cell r="L260">
            <v>0</v>
          </cell>
        </row>
        <row r="261">
          <cell r="A261">
            <v>35976</v>
          </cell>
          <cell r="B261">
            <v>6365.351999999999</v>
          </cell>
          <cell r="C261">
            <v>5657.1193333333304</v>
          </cell>
          <cell r="D261">
            <v>6467.3626666666696</v>
          </cell>
          <cell r="E261">
            <v>0</v>
          </cell>
          <cell r="F261">
            <v>4552.6163333333297</v>
          </cell>
          <cell r="G261">
            <v>5951.2036666666709</v>
          </cell>
          <cell r="H261">
            <v>8581.1893333333301</v>
          </cell>
          <cell r="I261">
            <v>56.452000000000027</v>
          </cell>
          <cell r="J261">
            <v>0</v>
          </cell>
          <cell r="K261">
            <v>0</v>
          </cell>
          <cell r="L261">
            <v>0</v>
          </cell>
        </row>
        <row r="262">
          <cell r="A262">
            <v>36007</v>
          </cell>
          <cell r="B262">
            <v>950.48419354838711</v>
          </cell>
          <cell r="C262">
            <v>739.09741935483896</v>
          </cell>
          <cell r="D262">
            <v>1203.601290322581</v>
          </cell>
          <cell r="E262">
            <v>0</v>
          </cell>
          <cell r="F262">
            <v>0</v>
          </cell>
          <cell r="G262">
            <v>876.00258064516106</v>
          </cell>
          <cell r="H262">
            <v>1280.42935483871</v>
          </cell>
          <cell r="I262">
            <v>961.36967741935484</v>
          </cell>
          <cell r="J262">
            <v>0</v>
          </cell>
          <cell r="K262">
            <v>0</v>
          </cell>
          <cell r="L262">
            <v>0</v>
          </cell>
        </row>
        <row r="263">
          <cell r="A263">
            <v>36038</v>
          </cell>
          <cell r="B263">
            <v>8961.4922580645107</v>
          </cell>
          <cell r="C263">
            <v>6142.0380645161267</v>
          </cell>
          <cell r="D263">
            <v>10149.23354838709</v>
          </cell>
          <cell r="E263">
            <v>0</v>
          </cell>
          <cell r="F263">
            <v>5920.5525806451606</v>
          </cell>
          <cell r="G263">
            <v>8774.9412903225821</v>
          </cell>
          <cell r="H263">
            <v>5839.8370967742012</v>
          </cell>
          <cell r="I263">
            <v>6645.5819354838713</v>
          </cell>
          <cell r="J263">
            <v>0</v>
          </cell>
          <cell r="K263">
            <v>0</v>
          </cell>
          <cell r="L263">
            <v>0</v>
          </cell>
        </row>
        <row r="264">
          <cell r="A264">
            <v>36068</v>
          </cell>
          <cell r="B264">
            <v>8682.7553333333308</v>
          </cell>
          <cell r="C264">
            <v>6712.8256666666666</v>
          </cell>
          <cell r="D264">
            <v>9007.38533333333</v>
          </cell>
          <cell r="E264">
            <v>14.276333333333366</v>
          </cell>
          <cell r="F264">
            <v>9662.5789999999997</v>
          </cell>
          <cell r="G264">
            <v>8458.5169999999998</v>
          </cell>
          <cell r="H264">
            <v>0</v>
          </cell>
          <cell r="I264">
            <v>5941.3209999999999</v>
          </cell>
          <cell r="J264">
            <v>0</v>
          </cell>
          <cell r="K264">
            <v>0</v>
          </cell>
          <cell r="L264">
            <v>0</v>
          </cell>
        </row>
        <row r="265">
          <cell r="A265">
            <v>36099</v>
          </cell>
          <cell r="B265">
            <v>7192.03322580645</v>
          </cell>
          <cell r="C265">
            <v>9063.8503225806489</v>
          </cell>
          <cell r="D265">
            <v>3386.59935483871</v>
          </cell>
          <cell r="E265">
            <v>1507.3338709677375</v>
          </cell>
          <cell r="F265">
            <v>747.17032258064501</v>
          </cell>
          <cell r="G265">
            <v>7250.1145161290306</v>
          </cell>
          <cell r="H265">
            <v>0</v>
          </cell>
          <cell r="I265">
            <v>6765.1180645161303</v>
          </cell>
          <cell r="J265">
            <v>0</v>
          </cell>
          <cell r="K265">
            <v>0</v>
          </cell>
          <cell r="L265">
            <v>0</v>
          </cell>
        </row>
        <row r="266">
          <cell r="A266">
            <v>36129</v>
          </cell>
          <cell r="B266">
            <v>1379.6210000000001</v>
          </cell>
          <cell r="C266">
            <v>8872.9683333333305</v>
          </cell>
          <cell r="D266">
            <v>0</v>
          </cell>
          <cell r="E266">
            <v>0</v>
          </cell>
          <cell r="F266">
            <v>688.70900000000051</v>
          </cell>
          <cell r="G266">
            <v>9062.2043333333404</v>
          </cell>
          <cell r="H266">
            <v>0</v>
          </cell>
          <cell r="I266">
            <v>8582.6610000000001</v>
          </cell>
          <cell r="J266">
            <v>0</v>
          </cell>
          <cell r="K266">
            <v>0</v>
          </cell>
          <cell r="L266">
            <v>0</v>
          </cell>
        </row>
        <row r="267">
          <cell r="A267">
            <v>36160</v>
          </cell>
          <cell r="B267">
            <v>0</v>
          </cell>
          <cell r="C267">
            <v>9492.7380645161265</v>
          </cell>
          <cell r="D267">
            <v>0</v>
          </cell>
          <cell r="E267">
            <v>0</v>
          </cell>
          <cell r="F267">
            <v>1015.87774193548</v>
          </cell>
          <cell r="G267">
            <v>10319.59064516129</v>
          </cell>
          <cell r="H267">
            <v>0</v>
          </cell>
          <cell r="I267">
            <v>7824.8412903225808</v>
          </cell>
          <cell r="J267">
            <v>0</v>
          </cell>
          <cell r="K267">
            <v>0</v>
          </cell>
          <cell r="L267">
            <v>0</v>
          </cell>
        </row>
        <row r="268">
          <cell r="A268">
            <v>36191</v>
          </cell>
          <cell r="B268">
            <v>1924.3822580645169</v>
          </cell>
          <cell r="C268">
            <v>8173.0832258064538</v>
          </cell>
          <cell r="D268">
            <v>0</v>
          </cell>
          <cell r="E268">
            <v>0</v>
          </cell>
          <cell r="F268">
            <v>4233.769354838706</v>
          </cell>
          <cell r="G268">
            <v>8212.3258064516103</v>
          </cell>
          <cell r="H268">
            <v>0</v>
          </cell>
          <cell r="I268">
            <v>5853.3583870967705</v>
          </cell>
          <cell r="J268">
            <v>0</v>
          </cell>
          <cell r="K268">
            <v>0</v>
          </cell>
          <cell r="L268">
            <v>0</v>
          </cell>
        </row>
        <row r="269">
          <cell r="A269">
            <v>36219</v>
          </cell>
          <cell r="B269">
            <v>7326.8310714285799</v>
          </cell>
          <cell r="C269">
            <v>7806.615357142854</v>
          </cell>
          <cell r="D269">
            <v>7220.6696428571404</v>
          </cell>
          <cell r="E269">
            <v>0</v>
          </cell>
          <cell r="F269">
            <v>8405.67107142858</v>
          </cell>
          <cell r="G269">
            <v>0</v>
          </cell>
          <cell r="H269">
            <v>4120.1792857142846</v>
          </cell>
          <cell r="I269">
            <v>5411.6375000000007</v>
          </cell>
          <cell r="J269">
            <v>0</v>
          </cell>
          <cell r="K269">
            <v>0</v>
          </cell>
          <cell r="L269">
            <v>0</v>
          </cell>
        </row>
        <row r="270">
          <cell r="A270">
            <v>36250</v>
          </cell>
          <cell r="B270">
            <v>1391.7712903225811</v>
          </cell>
          <cell r="C270">
            <v>1316.3754838709726</v>
          </cell>
          <cell r="D270">
            <v>1329.8764516129031</v>
          </cell>
          <cell r="E270">
            <v>0</v>
          </cell>
          <cell r="F270">
            <v>1685.3880645161321</v>
          </cell>
          <cell r="G270">
            <v>0</v>
          </cell>
          <cell r="H270">
            <v>1588.0822580645201</v>
          </cell>
          <cell r="I270">
            <v>992.82774193548403</v>
          </cell>
          <cell r="J270">
            <v>0</v>
          </cell>
          <cell r="K270">
            <v>0</v>
          </cell>
          <cell r="L270">
            <v>0</v>
          </cell>
        </row>
        <row r="271">
          <cell r="A271">
            <v>36280</v>
          </cell>
          <cell r="B271">
            <v>38.927999999999997</v>
          </cell>
          <cell r="C271">
            <v>1055.7329999999999</v>
          </cell>
          <cell r="D271">
            <v>304.27800000000002</v>
          </cell>
          <cell r="E271">
            <v>0</v>
          </cell>
          <cell r="F271">
            <v>1200.6353333333368</v>
          </cell>
          <cell r="G271">
            <v>0</v>
          </cell>
          <cell r="H271">
            <v>314.28333333333302</v>
          </cell>
          <cell r="I271">
            <v>0</v>
          </cell>
          <cell r="J271">
            <v>0</v>
          </cell>
          <cell r="K271">
            <v>0</v>
          </cell>
          <cell r="L271">
            <v>0</v>
          </cell>
        </row>
        <row r="272">
          <cell r="A272">
            <v>36311</v>
          </cell>
          <cell r="B272">
            <v>0</v>
          </cell>
          <cell r="C272">
            <v>6952.203548387095</v>
          </cell>
          <cell r="D272">
            <v>296.59612903225758</v>
          </cell>
          <cell r="E272">
            <v>0</v>
          </cell>
          <cell r="F272">
            <v>6045.8409677419349</v>
          </cell>
          <cell r="G272">
            <v>0</v>
          </cell>
          <cell r="H272">
            <v>5849.0499999999975</v>
          </cell>
          <cell r="I272">
            <v>0</v>
          </cell>
          <cell r="J272">
            <v>8198.4077419354799</v>
          </cell>
          <cell r="K272">
            <v>0</v>
          </cell>
          <cell r="L272">
            <v>0</v>
          </cell>
        </row>
        <row r="273">
          <cell r="A273">
            <v>36341</v>
          </cell>
          <cell r="B273">
            <v>3983.0423333333406</v>
          </cell>
          <cell r="C273">
            <v>8276.0800000000036</v>
          </cell>
          <cell r="D273">
            <v>4568.3763333333327</v>
          </cell>
          <cell r="E273">
            <v>0</v>
          </cell>
          <cell r="F273">
            <v>8383.3959999999988</v>
          </cell>
          <cell r="G273">
            <v>0</v>
          </cell>
          <cell r="H273">
            <v>4999.2646666666597</v>
          </cell>
          <cell r="I273">
            <v>0</v>
          </cell>
          <cell r="J273">
            <v>110.968</v>
          </cell>
          <cell r="K273">
            <v>0</v>
          </cell>
          <cell r="L273">
            <v>0</v>
          </cell>
        </row>
        <row r="274">
          <cell r="A274">
            <v>36372</v>
          </cell>
          <cell r="B274">
            <v>4608.8261290322607</v>
          </cell>
          <cell r="C274">
            <v>7495.032580645161</v>
          </cell>
          <cell r="D274">
            <v>8052.3277419354908</v>
          </cell>
          <cell r="E274">
            <v>0</v>
          </cell>
          <cell r="F274">
            <v>0</v>
          </cell>
          <cell r="G274">
            <v>4967.1374193548399</v>
          </cell>
          <cell r="H274">
            <v>7730.6506451612895</v>
          </cell>
          <cell r="I274">
            <v>1069.170322580645</v>
          </cell>
          <cell r="J274">
            <v>0</v>
          </cell>
          <cell r="K274">
            <v>0</v>
          </cell>
          <cell r="L274">
            <v>0</v>
          </cell>
        </row>
        <row r="275">
          <cell r="A275">
            <v>36403</v>
          </cell>
          <cell r="B275">
            <v>6132.3616129032198</v>
          </cell>
          <cell r="C275">
            <v>7202.2400000000007</v>
          </cell>
          <cell r="D275">
            <v>7864.1725806451605</v>
          </cell>
          <cell r="E275">
            <v>0</v>
          </cell>
          <cell r="F275">
            <v>264.848064516129</v>
          </cell>
          <cell r="G275">
            <v>9229.8793548387112</v>
          </cell>
          <cell r="H275">
            <v>8802.7319354838692</v>
          </cell>
          <cell r="I275">
            <v>729.50967741935506</v>
          </cell>
          <cell r="J275">
            <v>0</v>
          </cell>
          <cell r="K275">
            <v>0</v>
          </cell>
          <cell r="L275">
            <v>0</v>
          </cell>
        </row>
        <row r="276">
          <cell r="A276">
            <v>36433</v>
          </cell>
          <cell r="B276">
            <v>5535.21</v>
          </cell>
          <cell r="C276">
            <v>4781.1573333333372</v>
          </cell>
          <cell r="D276">
            <v>5602.0930000000008</v>
          </cell>
          <cell r="E276">
            <v>0</v>
          </cell>
          <cell r="F276">
            <v>778.79733333333309</v>
          </cell>
          <cell r="G276">
            <v>6442.8640000000005</v>
          </cell>
          <cell r="H276">
            <v>6487.7473333333401</v>
          </cell>
          <cell r="I276">
            <v>0</v>
          </cell>
          <cell r="J276">
            <v>8.7576666666666707</v>
          </cell>
          <cell r="K276">
            <v>0</v>
          </cell>
          <cell r="L276">
            <v>0</v>
          </cell>
        </row>
        <row r="277">
          <cell r="A277">
            <v>36464</v>
          </cell>
          <cell r="B277">
            <v>8302.16</v>
          </cell>
          <cell r="C277">
            <v>6667.9387096774199</v>
          </cell>
          <cell r="D277">
            <v>8530.188709677419</v>
          </cell>
          <cell r="E277">
            <v>0</v>
          </cell>
          <cell r="F277">
            <v>0</v>
          </cell>
          <cell r="G277">
            <v>9718.6477419354887</v>
          </cell>
          <cell r="H277">
            <v>9572.2461290322608</v>
          </cell>
          <cell r="I277">
            <v>0</v>
          </cell>
          <cell r="J277">
            <v>395.03709677419408</v>
          </cell>
          <cell r="K277">
            <v>0</v>
          </cell>
          <cell r="L277">
            <v>0</v>
          </cell>
        </row>
        <row r="278">
          <cell r="A278">
            <v>36494</v>
          </cell>
          <cell r="B278">
            <v>7827.6366666666599</v>
          </cell>
          <cell r="C278">
            <v>6490.4743333333299</v>
          </cell>
          <cell r="D278">
            <v>8262.2296666666698</v>
          </cell>
          <cell r="E278">
            <v>0</v>
          </cell>
          <cell r="F278">
            <v>0</v>
          </cell>
          <cell r="G278">
            <v>9063.6059999999998</v>
          </cell>
          <cell r="H278">
            <v>9073.4030000000002</v>
          </cell>
          <cell r="I278">
            <v>0</v>
          </cell>
          <cell r="J278">
            <v>0</v>
          </cell>
          <cell r="K278">
            <v>0</v>
          </cell>
          <cell r="L278">
            <v>0</v>
          </cell>
        </row>
        <row r="279">
          <cell r="A279">
            <v>36525</v>
          </cell>
          <cell r="B279">
            <v>7732.4129032258097</v>
          </cell>
          <cell r="C279">
            <v>7167.405483870969</v>
          </cell>
          <cell r="D279">
            <v>7886.4390322580603</v>
          </cell>
          <cell r="E279">
            <v>0</v>
          </cell>
          <cell r="F279">
            <v>0</v>
          </cell>
          <cell r="G279">
            <v>8837.5538709677421</v>
          </cell>
          <cell r="H279">
            <v>8536.9648387096804</v>
          </cell>
          <cell r="I279">
            <v>1763.6741935483883</v>
          </cell>
          <cell r="J279">
            <v>0</v>
          </cell>
          <cell r="K279">
            <v>0</v>
          </cell>
          <cell r="L279">
            <v>0</v>
          </cell>
        </row>
        <row r="280">
          <cell r="A280">
            <v>36556</v>
          </cell>
          <cell r="B280">
            <v>7043.3787096774195</v>
          </cell>
          <cell r="C280">
            <v>5672.081612903221</v>
          </cell>
          <cell r="D280">
            <v>6216.9216129032302</v>
          </cell>
          <cell r="E280">
            <v>1.19354838709677</v>
          </cell>
          <cell r="F280">
            <v>0</v>
          </cell>
          <cell r="G280">
            <v>7479.9590322580698</v>
          </cell>
          <cell r="H280">
            <v>7710.0467741935499</v>
          </cell>
          <cell r="I280">
            <v>3096.2090322580598</v>
          </cell>
          <cell r="J280">
            <v>0</v>
          </cell>
          <cell r="K280">
            <v>0</v>
          </cell>
          <cell r="L280">
            <v>0</v>
          </cell>
        </row>
        <row r="281">
          <cell r="A281">
            <v>36585</v>
          </cell>
          <cell r="B281">
            <v>8187.9082758620707</v>
          </cell>
          <cell r="C281">
            <v>6282.8041379310307</v>
          </cell>
          <cell r="D281">
            <v>6064.0041379310405</v>
          </cell>
          <cell r="E281">
            <v>0</v>
          </cell>
          <cell r="F281">
            <v>33.2703448275862</v>
          </cell>
          <cell r="G281">
            <v>8213.2220689655205</v>
          </cell>
          <cell r="H281">
            <v>9817.9693103448208</v>
          </cell>
          <cell r="I281">
            <v>3576.6575862068903</v>
          </cell>
          <cell r="J281">
            <v>71.59</v>
          </cell>
          <cell r="K281">
            <v>0</v>
          </cell>
          <cell r="L281">
            <v>0</v>
          </cell>
        </row>
        <row r="282">
          <cell r="A282">
            <v>36616</v>
          </cell>
          <cell r="B282">
            <v>9626.9548387096802</v>
          </cell>
          <cell r="C282">
            <v>6561.5212903225802</v>
          </cell>
          <cell r="D282">
            <v>9690.3893548387096</v>
          </cell>
          <cell r="E282">
            <v>18.998709677419399</v>
          </cell>
          <cell r="F282">
            <v>223.60290322580602</v>
          </cell>
          <cell r="G282">
            <v>9157.949354838709</v>
          </cell>
          <cell r="H282">
            <v>12413.071935483869</v>
          </cell>
          <cell r="I282">
            <v>3620.2993548387103</v>
          </cell>
          <cell r="J282">
            <v>284.69548387096802</v>
          </cell>
          <cell r="K282">
            <v>0</v>
          </cell>
          <cell r="L282">
            <v>0</v>
          </cell>
        </row>
        <row r="283">
          <cell r="A283">
            <v>36646</v>
          </cell>
          <cell r="B283">
            <v>5244.0613333333304</v>
          </cell>
          <cell r="C283">
            <v>6419.9489999999987</v>
          </cell>
          <cell r="D283">
            <v>2972.9706666666707</v>
          </cell>
          <cell r="E283">
            <v>4.4596666666666689</v>
          </cell>
          <cell r="F283">
            <v>2.448</v>
          </cell>
          <cell r="G283">
            <v>5245.1689999999999</v>
          </cell>
          <cell r="H283">
            <v>9225.5416666666606</v>
          </cell>
          <cell r="I283">
            <v>3186.0553333333301</v>
          </cell>
          <cell r="J283">
            <v>0</v>
          </cell>
          <cell r="K283">
            <v>0</v>
          </cell>
          <cell r="L283">
            <v>0</v>
          </cell>
        </row>
        <row r="284">
          <cell r="A284">
            <v>36677</v>
          </cell>
          <cell r="B284">
            <v>9814.5041935483896</v>
          </cell>
          <cell r="C284">
            <v>5581.5025806451604</v>
          </cell>
          <cell r="D284">
            <v>9859.8512903225801</v>
          </cell>
          <cell r="E284">
            <v>30.468064516129001</v>
          </cell>
          <cell r="F284">
            <v>15.295806451612899</v>
          </cell>
          <cell r="G284">
            <v>8019.3474193548409</v>
          </cell>
          <cell r="H284">
            <v>10162.67935483871</v>
          </cell>
          <cell r="I284">
            <v>1537.0548387096769</v>
          </cell>
          <cell r="J284">
            <v>251.51516129032302</v>
          </cell>
          <cell r="K284">
            <v>0</v>
          </cell>
          <cell r="L284">
            <v>0</v>
          </cell>
        </row>
        <row r="285">
          <cell r="A285">
            <v>36707</v>
          </cell>
          <cell r="B285">
            <v>9670.0010000000002</v>
          </cell>
          <cell r="C285">
            <v>544.40499999999997</v>
          </cell>
          <cell r="D285">
            <v>10014.576000000001</v>
          </cell>
          <cell r="E285">
            <v>4.6296666666666688</v>
          </cell>
          <cell r="F285">
            <v>0.6</v>
          </cell>
          <cell r="G285">
            <v>8297.6713333333391</v>
          </cell>
          <cell r="H285">
            <v>12487.59666666667</v>
          </cell>
          <cell r="I285">
            <v>2888.0893333333302</v>
          </cell>
          <cell r="J285">
            <v>668.17133333333311</v>
          </cell>
          <cell r="K285">
            <v>0</v>
          </cell>
          <cell r="L285">
            <v>0</v>
          </cell>
        </row>
        <row r="286">
          <cell r="A286">
            <v>36738</v>
          </cell>
          <cell r="B286">
            <v>8203.2090322580698</v>
          </cell>
          <cell r="C286">
            <v>4760.5183870967721</v>
          </cell>
          <cell r="D286">
            <v>7481.0893548387103</v>
          </cell>
          <cell r="E286">
            <v>0</v>
          </cell>
          <cell r="F286">
            <v>2.7141935483871</v>
          </cell>
          <cell r="G286">
            <v>7492.7432258064509</v>
          </cell>
          <cell r="H286">
            <v>10677.510322580649</v>
          </cell>
          <cell r="I286">
            <v>3942.9148387096802</v>
          </cell>
          <cell r="J286">
            <v>824.13354838709699</v>
          </cell>
          <cell r="K286">
            <v>0</v>
          </cell>
          <cell r="L286">
            <v>0</v>
          </cell>
        </row>
        <row r="287">
          <cell r="A287">
            <v>36769</v>
          </cell>
          <cell r="B287">
            <v>9798.5964516128988</v>
          </cell>
          <cell r="C287">
            <v>6508.5706451612896</v>
          </cell>
          <cell r="D287">
            <v>0</v>
          </cell>
          <cell r="E287">
            <v>0</v>
          </cell>
          <cell r="F287">
            <v>335.26838709677401</v>
          </cell>
          <cell r="G287">
            <v>8014.5812903225797</v>
          </cell>
          <cell r="H287">
            <v>11407.100322580649</v>
          </cell>
          <cell r="I287">
            <v>4343.9203225806405</v>
          </cell>
          <cell r="J287">
            <v>1276.4022580645201</v>
          </cell>
          <cell r="K287">
            <v>0</v>
          </cell>
          <cell r="L287">
            <v>0</v>
          </cell>
        </row>
        <row r="288">
          <cell r="A288">
            <v>36799</v>
          </cell>
          <cell r="B288">
            <v>857.52200000000016</v>
          </cell>
          <cell r="C288">
            <v>592.4430000000001</v>
          </cell>
          <cell r="D288">
            <v>0</v>
          </cell>
          <cell r="E288">
            <v>0</v>
          </cell>
          <cell r="F288">
            <v>0</v>
          </cell>
          <cell r="G288">
            <v>709.77700000000004</v>
          </cell>
          <cell r="H288">
            <v>1010.1146666666671</v>
          </cell>
          <cell r="I288">
            <v>477.82400000000007</v>
          </cell>
          <cell r="J288">
            <v>149.95699999999999</v>
          </cell>
          <cell r="K288">
            <v>0</v>
          </cell>
          <cell r="L288">
            <v>0</v>
          </cell>
        </row>
        <row r="289">
          <cell r="A289">
            <v>36830</v>
          </cell>
          <cell r="B289">
            <v>4486.5129032258001</v>
          </cell>
          <cell r="C289">
            <v>3805.3058064516099</v>
          </cell>
          <cell r="D289">
            <v>0</v>
          </cell>
          <cell r="E289">
            <v>0</v>
          </cell>
          <cell r="F289">
            <v>0.85677419354838702</v>
          </cell>
          <cell r="G289">
            <v>5369.0951612903209</v>
          </cell>
          <cell r="H289">
            <v>5481.4461290322606</v>
          </cell>
          <cell r="I289">
            <v>2829.6867741935503</v>
          </cell>
          <cell r="J289">
            <v>17.281290322580599</v>
          </cell>
          <cell r="K289">
            <v>0</v>
          </cell>
          <cell r="L289">
            <v>0</v>
          </cell>
        </row>
        <row r="290">
          <cell r="A290">
            <v>36860</v>
          </cell>
          <cell r="B290">
            <v>10269.796666666669</v>
          </cell>
          <cell r="C290">
            <v>6752.875</v>
          </cell>
          <cell r="D290">
            <v>0</v>
          </cell>
          <cell r="E290">
            <v>0</v>
          </cell>
          <cell r="F290">
            <v>510.34200000000004</v>
          </cell>
          <cell r="G290">
            <v>11184.14933333334</v>
          </cell>
          <cell r="H290">
            <v>11099.950666666671</v>
          </cell>
          <cell r="I290">
            <v>5731.4440000000004</v>
          </cell>
          <cell r="J290">
            <v>503.60633333333305</v>
          </cell>
          <cell r="K290">
            <v>0</v>
          </cell>
          <cell r="L290">
            <v>0</v>
          </cell>
        </row>
        <row r="291">
          <cell r="A291">
            <v>36891</v>
          </cell>
          <cell r="B291">
            <v>10722.311290322581</v>
          </cell>
          <cell r="C291">
            <v>6648.4683870967701</v>
          </cell>
          <cell r="D291">
            <v>0</v>
          </cell>
          <cell r="E291">
            <v>0</v>
          </cell>
          <cell r="F291">
            <v>1808.2177419354803</v>
          </cell>
          <cell r="G291">
            <v>11595.527096774191</v>
          </cell>
          <cell r="H291">
            <v>11381.934838709671</v>
          </cell>
          <cell r="I291">
            <v>1450.5125806451611</v>
          </cell>
          <cell r="J291">
            <v>3492.49096774194</v>
          </cell>
          <cell r="K291">
            <v>5979.8970967741898</v>
          </cell>
          <cell r="L291">
            <v>0</v>
          </cell>
        </row>
        <row r="292">
          <cell r="A292">
            <v>36922</v>
          </cell>
          <cell r="B292">
            <v>10320.24838709677</v>
          </cell>
          <cell r="C292">
            <v>6879.5741935483802</v>
          </cell>
          <cell r="D292">
            <v>0</v>
          </cell>
          <cell r="E292">
            <v>0</v>
          </cell>
          <cell r="F292">
            <v>443.83193548387106</v>
          </cell>
          <cell r="G292">
            <v>11944.00903225806</v>
          </cell>
          <cell r="H292">
            <v>11797.400322580648</v>
          </cell>
          <cell r="I292">
            <v>0</v>
          </cell>
          <cell r="J292">
            <v>3269.8154838709702</v>
          </cell>
          <cell r="K292">
            <v>13857.533225806452</v>
          </cell>
          <cell r="L292">
            <v>0</v>
          </cell>
        </row>
        <row r="293">
          <cell r="A293">
            <v>36950</v>
          </cell>
          <cell r="B293">
            <v>8576.64</v>
          </cell>
          <cell r="C293">
            <v>5582.1728571428603</v>
          </cell>
          <cell r="D293">
            <v>3539.6714285714202</v>
          </cell>
          <cell r="E293">
            <v>0</v>
          </cell>
          <cell r="F293">
            <v>70.18892857142859</v>
          </cell>
          <cell r="G293">
            <v>9806.3378571428511</v>
          </cell>
          <cell r="H293">
            <v>9639.0939285714303</v>
          </cell>
          <cell r="I293">
            <v>0</v>
          </cell>
          <cell r="J293">
            <v>2799.4717857142814</v>
          </cell>
          <cell r="K293">
            <v>11381.831428571422</v>
          </cell>
          <cell r="L293">
            <v>0</v>
          </cell>
        </row>
        <row r="294">
          <cell r="A294">
            <v>36981</v>
          </cell>
          <cell r="B294">
            <v>8157.2396774193603</v>
          </cell>
          <cell r="C294">
            <v>4973.9925806451602</v>
          </cell>
          <cell r="D294">
            <v>7305.7006451612897</v>
          </cell>
          <cell r="E294">
            <v>0</v>
          </cell>
          <cell r="F294">
            <v>26.6477419354839</v>
          </cell>
          <cell r="G294">
            <v>8095.7893548387092</v>
          </cell>
          <cell r="H294">
            <v>10298.801612903229</v>
          </cell>
          <cell r="I294">
            <v>0</v>
          </cell>
          <cell r="J294">
            <v>5458.5922580645183</v>
          </cell>
          <cell r="K294">
            <v>12228.892903225802</v>
          </cell>
          <cell r="L294">
            <v>0</v>
          </cell>
        </row>
        <row r="295">
          <cell r="A295">
            <v>37011</v>
          </cell>
          <cell r="B295">
            <v>8855.0776666666607</v>
          </cell>
          <cell r="C295">
            <v>5824.9616666666707</v>
          </cell>
          <cell r="D295">
            <v>0</v>
          </cell>
          <cell r="E295">
            <v>0</v>
          </cell>
          <cell r="F295">
            <v>1888.2180000000001</v>
          </cell>
          <cell r="G295">
            <v>9733.3696666666692</v>
          </cell>
          <cell r="H295">
            <v>10396.852666666669</v>
          </cell>
          <cell r="I295">
            <v>0</v>
          </cell>
          <cell r="J295">
            <v>7987.0680000000011</v>
          </cell>
          <cell r="K295">
            <v>12204.16866666667</v>
          </cell>
          <cell r="L295">
            <v>0</v>
          </cell>
        </row>
        <row r="296">
          <cell r="A296">
            <v>37042</v>
          </cell>
          <cell r="B296">
            <v>1805.217419354839</v>
          </cell>
          <cell r="C296">
            <v>6387.5348387096801</v>
          </cell>
          <cell r="D296">
            <v>1740.8680645161239</v>
          </cell>
          <cell r="E296">
            <v>0</v>
          </cell>
          <cell r="F296">
            <v>690.680322580645</v>
          </cell>
          <cell r="G296">
            <v>10684.751935483871</v>
          </cell>
          <cell r="H296">
            <v>10720.29612903226</v>
          </cell>
          <cell r="I296">
            <v>0</v>
          </cell>
          <cell r="J296">
            <v>11136.6564516129</v>
          </cell>
          <cell r="K296">
            <v>12416.276774193551</v>
          </cell>
          <cell r="L296">
            <v>0</v>
          </cell>
        </row>
        <row r="297">
          <cell r="A297">
            <v>37072</v>
          </cell>
          <cell r="B297">
            <v>0</v>
          </cell>
          <cell r="C297">
            <v>4748.9296666666596</v>
          </cell>
          <cell r="D297">
            <v>9178.4790000000012</v>
          </cell>
          <cell r="E297">
            <v>0</v>
          </cell>
          <cell r="F297">
            <v>453.26466666666704</v>
          </cell>
          <cell r="G297">
            <v>9844.530999999999</v>
          </cell>
          <cell r="H297">
            <v>9982.092666666671</v>
          </cell>
          <cell r="I297">
            <v>0</v>
          </cell>
          <cell r="J297">
            <v>9955.8040000000001</v>
          </cell>
          <cell r="K297">
            <v>11540.112999999999</v>
          </cell>
          <cell r="L297">
            <v>0</v>
          </cell>
        </row>
        <row r="298">
          <cell r="A298">
            <v>37103</v>
          </cell>
          <cell r="B298">
            <v>0</v>
          </cell>
          <cell r="C298">
            <v>5845.6196774193595</v>
          </cell>
          <cell r="D298">
            <v>10334.252903225799</v>
          </cell>
          <cell r="E298">
            <v>0</v>
          </cell>
          <cell r="F298">
            <v>0</v>
          </cell>
          <cell r="G298">
            <v>10401.76</v>
          </cell>
          <cell r="H298">
            <v>11360.356774193551</v>
          </cell>
          <cell r="I298">
            <v>0</v>
          </cell>
          <cell r="J298">
            <v>13098.51290322581</v>
          </cell>
          <cell r="K298">
            <v>13071.16032258065</v>
          </cell>
          <cell r="L298">
            <v>0</v>
          </cell>
        </row>
        <row r="299">
          <cell r="A299">
            <v>37134</v>
          </cell>
          <cell r="B299">
            <v>0</v>
          </cell>
          <cell r="C299">
            <v>6344.5641935483909</v>
          </cell>
          <cell r="D299">
            <v>10360.28258064516</v>
          </cell>
          <cell r="E299">
            <v>0</v>
          </cell>
          <cell r="F299">
            <v>103.003548387097</v>
          </cell>
          <cell r="G299">
            <v>11179.88096774193</v>
          </cell>
          <cell r="H299">
            <v>11731.9535483871</v>
          </cell>
          <cell r="I299">
            <v>0</v>
          </cell>
          <cell r="J299">
            <v>14439.87612903226</v>
          </cell>
          <cell r="K299">
            <v>13041.10806451612</v>
          </cell>
          <cell r="L299">
            <v>0</v>
          </cell>
        </row>
        <row r="300">
          <cell r="A300">
            <v>37164</v>
          </cell>
          <cell r="B300">
            <v>0</v>
          </cell>
          <cell r="C300">
            <v>3912.5363333333403</v>
          </cell>
          <cell r="D300">
            <v>10839.814666666662</v>
          </cell>
          <cell r="E300">
            <v>0</v>
          </cell>
          <cell r="F300">
            <v>1817.2396666666702</v>
          </cell>
          <cell r="G300">
            <v>10880.316666666669</v>
          </cell>
          <cell r="H300">
            <v>12265.658333333331</v>
          </cell>
          <cell r="I300">
            <v>0</v>
          </cell>
          <cell r="J300">
            <v>13872.652333333332</v>
          </cell>
          <cell r="K300">
            <v>12749.218666666671</v>
          </cell>
          <cell r="L300">
            <v>0</v>
          </cell>
        </row>
        <row r="301">
          <cell r="A301">
            <v>37195</v>
          </cell>
          <cell r="B301">
            <v>0</v>
          </cell>
          <cell r="C301">
            <v>5630.3203225806401</v>
          </cell>
          <cell r="D301">
            <v>7526.2545161290309</v>
          </cell>
          <cell r="E301">
            <v>0</v>
          </cell>
          <cell r="F301">
            <v>835.39741935483903</v>
          </cell>
          <cell r="G301">
            <v>6382.2203225806506</v>
          </cell>
          <cell r="H301">
            <v>10077.52548387097</v>
          </cell>
          <cell r="I301">
            <v>3108.06612903225</v>
          </cell>
          <cell r="J301">
            <v>11237.219032258068</v>
          </cell>
          <cell r="K301">
            <v>10034.200645161291</v>
          </cell>
          <cell r="L301">
            <v>9061.7748387096799</v>
          </cell>
        </row>
        <row r="302">
          <cell r="A302">
            <v>37225</v>
          </cell>
          <cell r="B302">
            <v>0</v>
          </cell>
          <cell r="C302">
            <v>7112.2959456457775</v>
          </cell>
          <cell r="D302">
            <v>6260.7717397694487</v>
          </cell>
          <cell r="E302">
            <v>0</v>
          </cell>
          <cell r="F302">
            <v>1489.0859066541993</v>
          </cell>
          <cell r="G302">
            <v>8699.5129851399761</v>
          </cell>
          <cell r="H302">
            <v>11456.385110650936</v>
          </cell>
          <cell r="I302">
            <v>7099.6255164328977</v>
          </cell>
          <cell r="J302">
            <v>12586.32265530097</v>
          </cell>
          <cell r="K302">
            <v>11873.02157722324</v>
          </cell>
          <cell r="L302">
            <v>10563.841928130203</v>
          </cell>
        </row>
        <row r="303">
          <cell r="A303">
            <v>37256</v>
          </cell>
          <cell r="B303">
            <v>0</v>
          </cell>
          <cell r="C303">
            <v>0</v>
          </cell>
          <cell r="D303">
            <v>0</v>
          </cell>
          <cell r="E303">
            <v>0</v>
          </cell>
          <cell r="F303">
            <v>0</v>
          </cell>
          <cell r="G303">
            <v>0</v>
          </cell>
          <cell r="H303">
            <v>0</v>
          </cell>
          <cell r="I303">
            <v>0</v>
          </cell>
          <cell r="J303">
            <v>0</v>
          </cell>
          <cell r="K303">
            <v>0</v>
          </cell>
          <cell r="L303">
            <v>0</v>
          </cell>
        </row>
        <row r="304">
          <cell r="A304">
            <v>37287</v>
          </cell>
          <cell r="B304">
            <v>0</v>
          </cell>
          <cell r="C304">
            <v>0</v>
          </cell>
          <cell r="D304">
            <v>0</v>
          </cell>
          <cell r="E304">
            <v>0</v>
          </cell>
          <cell r="F304">
            <v>0</v>
          </cell>
          <cell r="G304">
            <v>0</v>
          </cell>
          <cell r="H304">
            <v>0</v>
          </cell>
          <cell r="I304">
            <v>0</v>
          </cell>
          <cell r="J304">
            <v>0</v>
          </cell>
          <cell r="K304">
            <v>0</v>
          </cell>
          <cell r="L304">
            <v>0</v>
          </cell>
        </row>
      </sheetData>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01"/>
      <sheetName val="D02"/>
      <sheetName val="D05"/>
      <sheetName val="D07"/>
      <sheetName val="D08"/>
      <sheetName val="D11"/>
      <sheetName val="D12"/>
      <sheetName val="D15"/>
      <sheetName val="D16"/>
      <sheetName val="D17"/>
      <sheetName val="D18"/>
      <sheetName val="D19"/>
      <sheetName val="D20"/>
      <sheetName val="DW Field Forecast"/>
      <sheetName val="Actual Data"/>
      <sheetName val="Forecast Data"/>
      <sheetName val="Freq vs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7">
          <cell r="A7">
            <v>35095</v>
          </cell>
          <cell r="G7">
            <v>1570.7725806451601</v>
          </cell>
          <cell r="O7">
            <v>1570.7725806451601</v>
          </cell>
        </row>
        <row r="8">
          <cell r="A8">
            <v>35124</v>
          </cell>
          <cell r="D8">
            <v>260.99482758620701</v>
          </cell>
          <cell r="G8">
            <v>1742.3327586206901</v>
          </cell>
          <cell r="O8">
            <v>2003.3275862068972</v>
          </cell>
        </row>
        <row r="9">
          <cell r="A9">
            <v>35155</v>
          </cell>
          <cell r="B9">
            <v>2220.4916129032304</v>
          </cell>
          <cell r="C9">
            <v>516.03258064516103</v>
          </cell>
          <cell r="D9">
            <v>2429.2512903225802</v>
          </cell>
          <cell r="F9">
            <v>859.14870967741911</v>
          </cell>
          <cell r="G9">
            <v>2695.1187096774197</v>
          </cell>
          <cell r="O9">
            <v>8720.0429032258107</v>
          </cell>
        </row>
        <row r="10">
          <cell r="A10">
            <v>35185</v>
          </cell>
          <cell r="B10">
            <v>4889.4626666666691</v>
          </cell>
          <cell r="C10">
            <v>3367.759</v>
          </cell>
          <cell r="D10">
            <v>5932.0146666666697</v>
          </cell>
          <cell r="E10">
            <v>1117.4463333333301</v>
          </cell>
          <cell r="F10">
            <v>7102.7163333333301</v>
          </cell>
          <cell r="G10">
            <v>3628.0630000000001</v>
          </cell>
          <cell r="O10">
            <v>26037.462</v>
          </cell>
        </row>
        <row r="11">
          <cell r="A11">
            <v>35216</v>
          </cell>
          <cell r="B11">
            <v>2471.8951612903202</v>
          </cell>
          <cell r="C11">
            <v>1912.6241935483899</v>
          </cell>
          <cell r="D11">
            <v>4094.6941935483906</v>
          </cell>
          <cell r="E11">
            <v>982.24516129032315</v>
          </cell>
          <cell r="F11">
            <v>5776.7667741935502</v>
          </cell>
          <cell r="G11">
            <v>861.80193548387103</v>
          </cell>
          <cell r="O11">
            <v>16100.027419354845</v>
          </cell>
        </row>
        <row r="12">
          <cell r="A12">
            <v>35246</v>
          </cell>
          <cell r="B12">
            <v>3021.5373333333296</v>
          </cell>
          <cell r="C12">
            <v>1336.4453333333302</v>
          </cell>
          <cell r="D12">
            <v>2127.3986666666701</v>
          </cell>
          <cell r="E12">
            <v>1476.2916666666702</v>
          </cell>
          <cell r="F12">
            <v>1588.4826666666702</v>
          </cell>
          <cell r="G12">
            <v>110.529333333333</v>
          </cell>
          <cell r="O12">
            <v>9660.6850000000031</v>
          </cell>
        </row>
        <row r="13">
          <cell r="A13">
            <v>35277</v>
          </cell>
          <cell r="B13">
            <v>337.60483870967704</v>
          </cell>
          <cell r="C13">
            <v>390.74387096774205</v>
          </cell>
          <cell r="D13">
            <v>0</v>
          </cell>
          <cell r="E13">
            <v>760.82225806451606</v>
          </cell>
          <cell r="F13">
            <v>1257.4361290322602</v>
          </cell>
          <cell r="G13">
            <v>0</v>
          </cell>
          <cell r="O13">
            <v>2746.6070967741953</v>
          </cell>
        </row>
        <row r="14">
          <cell r="A14">
            <v>35308</v>
          </cell>
          <cell r="B14">
            <v>3027.1532258064503</v>
          </cell>
          <cell r="C14">
            <v>4079.9441935483906</v>
          </cell>
          <cell r="D14">
            <v>92.1064516129032</v>
          </cell>
          <cell r="E14">
            <v>2232.1864516128999</v>
          </cell>
          <cell r="F14">
            <v>2152.9135483871</v>
          </cell>
          <cell r="G14">
            <v>0</v>
          </cell>
          <cell r="O14">
            <v>11584.303870967744</v>
          </cell>
        </row>
        <row r="15">
          <cell r="A15">
            <v>35338</v>
          </cell>
          <cell r="B15">
            <v>5957.39</v>
          </cell>
          <cell r="C15">
            <v>3838.665</v>
          </cell>
          <cell r="D15">
            <v>458.64933333333306</v>
          </cell>
          <cell r="E15">
            <v>1817.2336666666702</v>
          </cell>
          <cell r="F15">
            <v>620.16433333333305</v>
          </cell>
          <cell r="G15">
            <v>0</v>
          </cell>
          <cell r="O15">
            <v>12692.102333333336</v>
          </cell>
        </row>
        <row r="16">
          <cell r="A16">
            <v>35369</v>
          </cell>
          <cell r="B16">
            <v>7332.0403225806504</v>
          </cell>
          <cell r="C16">
            <v>4410.5396774193505</v>
          </cell>
          <cell r="D16">
            <v>8039.07</v>
          </cell>
          <cell r="E16">
            <v>2478.2064516128999</v>
          </cell>
          <cell r="F16">
            <v>6764.9332258064505</v>
          </cell>
          <cell r="G16">
            <v>5684.66612903226</v>
          </cell>
          <cell r="O16">
            <v>34709.45580645161</v>
          </cell>
        </row>
        <row r="17">
          <cell r="A17">
            <v>35399</v>
          </cell>
          <cell r="B17">
            <v>6309.0003333333307</v>
          </cell>
          <cell r="C17">
            <v>3906.864</v>
          </cell>
          <cell r="D17">
            <v>6615.2973333333302</v>
          </cell>
          <cell r="E17">
            <v>3430.6403333333296</v>
          </cell>
          <cell r="F17">
            <v>7912.8753333333307</v>
          </cell>
          <cell r="G17">
            <v>7806.3883333333306</v>
          </cell>
          <cell r="O17">
            <v>35981.065666666647</v>
          </cell>
        </row>
        <row r="18">
          <cell r="A18">
            <v>35430</v>
          </cell>
          <cell r="B18">
            <v>2942.4012903225803</v>
          </cell>
          <cell r="C18">
            <v>4255.3045161290302</v>
          </cell>
          <cell r="D18">
            <v>7242.5116129032303</v>
          </cell>
          <cell r="E18">
            <v>2282.6822580645203</v>
          </cell>
          <cell r="F18">
            <v>4999.4729032258101</v>
          </cell>
          <cell r="G18">
            <v>5472.9609677419394</v>
          </cell>
          <cell r="O18">
            <v>27195.333548387112</v>
          </cell>
        </row>
        <row r="19">
          <cell r="A19">
            <v>35461</v>
          </cell>
          <cell r="B19">
            <v>2.5009677419354799</v>
          </cell>
          <cell r="C19">
            <v>4073.6961290322602</v>
          </cell>
          <cell r="D19">
            <v>5046.71677419355</v>
          </cell>
          <cell r="E19">
            <v>2647.2351612903203</v>
          </cell>
          <cell r="F19">
            <v>7015.9390322580603</v>
          </cell>
          <cell r="G19">
            <v>4105.5587096774207</v>
          </cell>
          <cell r="O19">
            <v>22891.646774193548</v>
          </cell>
        </row>
        <row r="20">
          <cell r="A20">
            <v>35489</v>
          </cell>
          <cell r="B20">
            <v>0</v>
          </cell>
          <cell r="C20">
            <v>3729.5875000000001</v>
          </cell>
          <cell r="D20">
            <v>6282.7271428571403</v>
          </cell>
          <cell r="E20">
            <v>3096.7071428571403</v>
          </cell>
          <cell r="F20">
            <v>7345.6275000000005</v>
          </cell>
          <cell r="G20">
            <v>4567.0878571428602</v>
          </cell>
          <cell r="H20">
            <v>4902.9225000000006</v>
          </cell>
          <cell r="O20">
            <v>29924.659642857143</v>
          </cell>
        </row>
        <row r="21">
          <cell r="A21">
            <v>35520</v>
          </cell>
          <cell r="B21">
            <v>0</v>
          </cell>
          <cell r="C21">
            <v>4302.2948387096803</v>
          </cell>
          <cell r="D21">
            <v>8464.6545161290305</v>
          </cell>
          <cell r="E21">
            <v>3636.1935483871002</v>
          </cell>
          <cell r="F21">
            <v>8769.1929032258104</v>
          </cell>
          <cell r="G21">
            <v>1755.7751612903201</v>
          </cell>
          <cell r="H21">
            <v>7702.6303225806505</v>
          </cell>
          <cell r="I21">
            <v>739.08741935483897</v>
          </cell>
          <cell r="O21">
            <v>35369.828709677429</v>
          </cell>
        </row>
        <row r="22">
          <cell r="A22">
            <v>35550</v>
          </cell>
          <cell r="B22">
            <v>2028.1020000000001</v>
          </cell>
          <cell r="C22">
            <v>0</v>
          </cell>
          <cell r="D22">
            <v>11903.437666666699</v>
          </cell>
          <cell r="E22">
            <v>4142.2623333333304</v>
          </cell>
          <cell r="F22">
            <v>10122.2356666667</v>
          </cell>
          <cell r="G22">
            <v>876.17033333333302</v>
          </cell>
          <cell r="H22">
            <v>13799.230666666699</v>
          </cell>
          <cell r="I22">
            <v>6234.3050000000003</v>
          </cell>
          <cell r="O22">
            <v>49105.743666666764</v>
          </cell>
        </row>
        <row r="23">
          <cell r="A23">
            <v>35581</v>
          </cell>
          <cell r="B23">
            <v>7905.8296774193504</v>
          </cell>
          <cell r="C23">
            <v>0</v>
          </cell>
          <cell r="D23">
            <v>11220.729354838699</v>
          </cell>
          <cell r="E23">
            <v>4527.6006451612902</v>
          </cell>
          <cell r="F23">
            <v>2410.0516129032303</v>
          </cell>
          <cell r="G23">
            <v>5547.1203225806503</v>
          </cell>
          <cell r="H23">
            <v>13871.021935483901</v>
          </cell>
          <cell r="I23">
            <v>5331.1258064516105</v>
          </cell>
          <cell r="O23">
            <v>50813.479354838724</v>
          </cell>
        </row>
        <row r="24">
          <cell r="A24">
            <v>35611</v>
          </cell>
          <cell r="B24">
            <v>6550.74</v>
          </cell>
          <cell r="C24">
            <v>0</v>
          </cell>
          <cell r="D24">
            <v>9483.9770000000008</v>
          </cell>
          <cell r="E24">
            <v>4078.2316666666702</v>
          </cell>
          <cell r="F24">
            <v>1966.6703333333301</v>
          </cell>
          <cell r="G24">
            <v>4560.5383333333302</v>
          </cell>
          <cell r="H24">
            <v>10954.368</v>
          </cell>
          <cell r="I24">
            <v>3657.0880000000002</v>
          </cell>
          <cell r="O24">
            <v>41251.613333333335</v>
          </cell>
        </row>
        <row r="25">
          <cell r="A25">
            <v>35642</v>
          </cell>
          <cell r="B25">
            <v>1660.6296774193499</v>
          </cell>
          <cell r="C25">
            <v>0</v>
          </cell>
          <cell r="D25">
            <v>6309.4125806451602</v>
          </cell>
          <cell r="E25">
            <v>4453.7964516129005</v>
          </cell>
          <cell r="F25">
            <v>2100.2535483871002</v>
          </cell>
          <cell r="G25">
            <v>4674.0074193548398</v>
          </cell>
          <cell r="H25">
            <v>12004.7038709677</v>
          </cell>
          <cell r="I25">
            <v>6398.7177419354803</v>
          </cell>
          <cell r="O25">
            <v>37601.521290322526</v>
          </cell>
        </row>
        <row r="26">
          <cell r="A26">
            <v>35673</v>
          </cell>
          <cell r="B26">
            <v>2084.7974193548398</v>
          </cell>
          <cell r="C26">
            <v>0</v>
          </cell>
          <cell r="D26">
            <v>3057.6516129032302</v>
          </cell>
          <cell r="E26">
            <v>3318.6387096774197</v>
          </cell>
          <cell r="F26">
            <v>1597.3712903225801</v>
          </cell>
          <cell r="G26">
            <v>486.4758064516131</v>
          </cell>
          <cell r="H26">
            <v>10190.808064516101</v>
          </cell>
          <cell r="I26">
            <v>4904.6219354838704</v>
          </cell>
          <cell r="O26">
            <v>25640.364838709655</v>
          </cell>
        </row>
        <row r="27">
          <cell r="A27">
            <v>35703</v>
          </cell>
          <cell r="B27">
            <v>3466.4450000000002</v>
          </cell>
          <cell r="C27">
            <v>0</v>
          </cell>
          <cell r="D27">
            <v>7049.6330000000007</v>
          </cell>
          <cell r="E27">
            <v>2916.3213333333297</v>
          </cell>
          <cell r="F27">
            <v>191.98966666666698</v>
          </cell>
          <cell r="G27">
            <v>0</v>
          </cell>
          <cell r="H27">
            <v>9139.238333333331</v>
          </cell>
          <cell r="I27">
            <v>1157.1320000000001</v>
          </cell>
          <cell r="O27">
            <v>23920.759333333332</v>
          </cell>
        </row>
        <row r="28">
          <cell r="A28">
            <v>35734</v>
          </cell>
          <cell r="B28">
            <v>4955.1280645161305</v>
          </cell>
          <cell r="C28">
            <v>0</v>
          </cell>
          <cell r="D28">
            <v>10575.396774193499</v>
          </cell>
          <cell r="E28">
            <v>4585.20774193548</v>
          </cell>
          <cell r="F28">
            <v>124.092903225806</v>
          </cell>
          <cell r="G28">
            <v>0</v>
          </cell>
          <cell r="H28">
            <v>10681.721612903199</v>
          </cell>
          <cell r="I28">
            <v>0</v>
          </cell>
          <cell r="O28">
            <v>30921.547096774113</v>
          </cell>
        </row>
        <row r="29">
          <cell r="A29">
            <v>35764</v>
          </cell>
          <cell r="B29">
            <v>5154.4276666666692</v>
          </cell>
          <cell r="C29">
            <v>0</v>
          </cell>
          <cell r="D29">
            <v>10374.4803333333</v>
          </cell>
          <cell r="E29">
            <v>4762.4353333333302</v>
          </cell>
          <cell r="F29">
            <v>0</v>
          </cell>
          <cell r="G29">
            <v>0</v>
          </cell>
          <cell r="H29">
            <v>14159.871333333302</v>
          </cell>
          <cell r="I29">
            <v>280.70133333333303</v>
          </cell>
          <cell r="O29">
            <v>34731.915999999932</v>
          </cell>
        </row>
        <row r="30">
          <cell r="A30">
            <v>35795</v>
          </cell>
          <cell r="B30">
            <v>4966.0229032258094</v>
          </cell>
          <cell r="C30">
            <v>0</v>
          </cell>
          <cell r="D30">
            <v>9646.0735483870994</v>
          </cell>
          <cell r="E30">
            <v>4315.0612903225801</v>
          </cell>
          <cell r="F30">
            <v>5391.1832258064505</v>
          </cell>
          <cell r="G30">
            <v>0</v>
          </cell>
          <cell r="H30">
            <v>12724.585483871</v>
          </cell>
          <cell r="I30">
            <v>1415.20032258065</v>
          </cell>
          <cell r="O30">
            <v>38458.126774193588</v>
          </cell>
        </row>
        <row r="31">
          <cell r="A31">
            <v>35826</v>
          </cell>
          <cell r="B31">
            <v>3602.8083870967703</v>
          </cell>
          <cell r="C31">
            <v>0</v>
          </cell>
          <cell r="D31">
            <v>7766.1341935483897</v>
          </cell>
          <cell r="E31">
            <v>3383.0319354838698</v>
          </cell>
          <cell r="F31">
            <v>11756.229354838699</v>
          </cell>
          <cell r="G31">
            <v>0</v>
          </cell>
          <cell r="H31">
            <v>10322.1338709677</v>
          </cell>
          <cell r="I31">
            <v>266.75645161290299</v>
          </cell>
          <cell r="O31">
            <v>37097.094193548335</v>
          </cell>
        </row>
        <row r="32">
          <cell r="A32">
            <v>35854</v>
          </cell>
          <cell r="B32">
            <v>2891.3814285714302</v>
          </cell>
          <cell r="C32">
            <v>0</v>
          </cell>
          <cell r="D32">
            <v>4135.3303571428605</v>
          </cell>
          <cell r="E32">
            <v>3730.7089285714301</v>
          </cell>
          <cell r="F32">
            <v>13356.5689285714</v>
          </cell>
          <cell r="G32">
            <v>0</v>
          </cell>
          <cell r="H32">
            <v>11620.3378571429</v>
          </cell>
          <cell r="I32">
            <v>91.746785714285693</v>
          </cell>
          <cell r="O32">
            <v>35826.074285714305</v>
          </cell>
        </row>
        <row r="33">
          <cell r="A33">
            <v>35885</v>
          </cell>
          <cell r="B33">
            <v>0</v>
          </cell>
          <cell r="C33">
            <v>0</v>
          </cell>
          <cell r="D33">
            <v>193.007096774194</v>
          </cell>
          <cell r="E33">
            <v>3460.2606451612901</v>
          </cell>
          <cell r="F33">
            <v>12584.463548387101</v>
          </cell>
          <cell r="G33">
            <v>0</v>
          </cell>
          <cell r="H33">
            <v>10809.0909677419</v>
          </cell>
          <cell r="I33">
            <v>0</v>
          </cell>
          <cell r="O33">
            <v>27046.822258064487</v>
          </cell>
        </row>
        <row r="34">
          <cell r="A34">
            <v>35915</v>
          </cell>
          <cell r="B34">
            <v>0</v>
          </cell>
          <cell r="C34">
            <v>1511.809</v>
          </cell>
          <cell r="D34">
            <v>5778.84</v>
          </cell>
          <cell r="E34">
            <v>2077.6046666666703</v>
          </cell>
          <cell r="F34">
            <v>11935.876</v>
          </cell>
          <cell r="G34">
            <v>360.33466666666703</v>
          </cell>
          <cell r="H34">
            <v>10543.013999999999</v>
          </cell>
          <cell r="I34">
            <v>0</v>
          </cell>
          <cell r="O34">
            <v>32207.478333333336</v>
          </cell>
        </row>
        <row r="35">
          <cell r="A35">
            <v>35946</v>
          </cell>
          <cell r="B35">
            <v>3156.59709677419</v>
          </cell>
          <cell r="C35">
            <v>7496.09741935484</v>
          </cell>
          <cell r="D35">
            <v>8367.4019354838711</v>
          </cell>
          <cell r="E35">
            <v>0</v>
          </cell>
          <cell r="F35">
            <v>5982.4061290322597</v>
          </cell>
          <cell r="G35">
            <v>5210.508387096771</v>
          </cell>
          <cell r="H35">
            <v>9156.9161290322609</v>
          </cell>
          <cell r="I35">
            <v>0</v>
          </cell>
          <cell r="O35">
            <v>39369.927096774198</v>
          </cell>
        </row>
        <row r="36">
          <cell r="A36">
            <v>35976</v>
          </cell>
          <cell r="B36">
            <v>4268.1446666666698</v>
          </cell>
          <cell r="C36">
            <v>5657.1193333333304</v>
          </cell>
          <cell r="D36">
            <v>4864.6559999999999</v>
          </cell>
          <cell r="E36">
            <v>0</v>
          </cell>
          <cell r="F36">
            <v>4147.2213333333302</v>
          </cell>
          <cell r="G36">
            <v>4772.0740000000005</v>
          </cell>
          <cell r="H36">
            <v>5686.1573333333299</v>
          </cell>
          <cell r="I36">
            <v>55.948666666666696</v>
          </cell>
          <cell r="O36">
            <v>29451.321333333326</v>
          </cell>
        </row>
        <row r="37">
          <cell r="A37">
            <v>36007</v>
          </cell>
          <cell r="B37">
            <v>662.63806451612902</v>
          </cell>
          <cell r="C37">
            <v>739.09741935483896</v>
          </cell>
          <cell r="D37">
            <v>965.54225806451609</v>
          </cell>
          <cell r="E37">
            <v>0</v>
          </cell>
          <cell r="F37">
            <v>0</v>
          </cell>
          <cell r="G37">
            <v>739.29645161290307</v>
          </cell>
          <cell r="H37">
            <v>927.16129032258107</v>
          </cell>
          <cell r="I37">
            <v>954.95193548387101</v>
          </cell>
          <cell r="O37">
            <v>4988.6874193548392</v>
          </cell>
        </row>
        <row r="38">
          <cell r="A38">
            <v>36038</v>
          </cell>
          <cell r="B38">
            <v>5597.21451612903</v>
          </cell>
          <cell r="C38">
            <v>6137.8138709677396</v>
          </cell>
          <cell r="D38">
            <v>6543.3683870967707</v>
          </cell>
          <cell r="E38">
            <v>0</v>
          </cell>
          <cell r="F38">
            <v>5376.3519354838709</v>
          </cell>
          <cell r="G38">
            <v>6987.1883870967713</v>
          </cell>
          <cell r="H38">
            <v>3823.8554838709706</v>
          </cell>
          <cell r="I38">
            <v>6441.6519354838711</v>
          </cell>
          <cell r="O38">
            <v>40907.44451612902</v>
          </cell>
        </row>
        <row r="39">
          <cell r="A39">
            <v>36068</v>
          </cell>
          <cell r="B39">
            <v>4864.2240000000002</v>
          </cell>
          <cell r="C39">
            <v>6704.0889999999999</v>
          </cell>
          <cell r="D39">
            <v>5137.2690000000002</v>
          </cell>
          <cell r="E39">
            <v>13.504666666666699</v>
          </cell>
          <cell r="F39">
            <v>7933.7743333333301</v>
          </cell>
          <cell r="G39">
            <v>5081.9453333333304</v>
          </cell>
          <cell r="H39">
            <v>0</v>
          </cell>
          <cell r="I39">
            <v>5239.33</v>
          </cell>
          <cell r="O39">
            <v>34974.136333333328</v>
          </cell>
        </row>
        <row r="40">
          <cell r="A40">
            <v>36099</v>
          </cell>
          <cell r="B40">
            <v>4145.6325806451605</v>
          </cell>
          <cell r="C40">
            <v>9053.7622580645202</v>
          </cell>
          <cell r="D40">
            <v>2052.55096774194</v>
          </cell>
          <cell r="E40">
            <v>1475.7183870967699</v>
          </cell>
          <cell r="F40">
            <v>726.16225806451598</v>
          </cell>
          <cell r="G40">
            <v>4250.9096774193504</v>
          </cell>
          <cell r="H40">
            <v>0</v>
          </cell>
          <cell r="I40">
            <v>5612.7538709677401</v>
          </cell>
          <cell r="O40">
            <v>27317.489999999994</v>
          </cell>
        </row>
        <row r="41">
          <cell r="A41">
            <v>36129</v>
          </cell>
          <cell r="B41">
            <v>779.05733333333308</v>
          </cell>
          <cell r="C41">
            <v>8859.9903333333314</v>
          </cell>
          <cell r="D41">
            <v>0</v>
          </cell>
          <cell r="E41">
            <v>0</v>
          </cell>
          <cell r="F41">
            <v>687.42366666666715</v>
          </cell>
          <cell r="G41">
            <v>5207.7246666666697</v>
          </cell>
          <cell r="H41">
            <v>0</v>
          </cell>
          <cell r="I41">
            <v>7061.7049999999999</v>
          </cell>
          <cell r="O41">
            <v>22595.900999999998</v>
          </cell>
        </row>
        <row r="42">
          <cell r="A42">
            <v>36160</v>
          </cell>
          <cell r="B42">
            <v>0</v>
          </cell>
          <cell r="C42">
            <v>9479.5051612903208</v>
          </cell>
          <cell r="D42">
            <v>0</v>
          </cell>
          <cell r="E42">
            <v>0</v>
          </cell>
          <cell r="F42">
            <v>1015.87774193548</v>
          </cell>
          <cell r="G42">
            <v>5172.2754838709698</v>
          </cell>
          <cell r="H42">
            <v>0</v>
          </cell>
          <cell r="I42">
            <v>6005.7287096774207</v>
          </cell>
          <cell r="O42">
            <v>21673.38709677419</v>
          </cell>
        </row>
        <row r="43">
          <cell r="A43">
            <v>36191</v>
          </cell>
          <cell r="B43">
            <v>1572.3780645161301</v>
          </cell>
          <cell r="C43">
            <v>8123.7141935483896</v>
          </cell>
          <cell r="D43">
            <v>0</v>
          </cell>
          <cell r="E43">
            <v>0</v>
          </cell>
          <cell r="F43">
            <v>4081.4870967741899</v>
          </cell>
          <cell r="G43">
            <v>4125.1664516129003</v>
          </cell>
          <cell r="H43">
            <v>0</v>
          </cell>
          <cell r="I43">
            <v>4047.6470967741902</v>
          </cell>
          <cell r="O43">
            <v>21950.392903225802</v>
          </cell>
        </row>
        <row r="44">
          <cell r="A44">
            <v>36219</v>
          </cell>
          <cell r="B44">
            <v>4677.6817857142896</v>
          </cell>
          <cell r="C44">
            <v>7491.1432142857111</v>
          </cell>
          <cell r="D44">
            <v>5764.1675000000005</v>
          </cell>
          <cell r="E44">
            <v>0</v>
          </cell>
          <cell r="F44">
            <v>7141.59428571429</v>
          </cell>
          <cell r="G44">
            <v>0</v>
          </cell>
          <cell r="H44">
            <v>3912.0560714285702</v>
          </cell>
          <cell r="I44">
            <v>3504.4389285714301</v>
          </cell>
          <cell r="O44">
            <v>32491.081785714294</v>
          </cell>
        </row>
        <row r="45">
          <cell r="A45">
            <v>36250</v>
          </cell>
          <cell r="B45">
            <v>845.67774193548405</v>
          </cell>
          <cell r="C45">
            <v>1265.3103225806501</v>
          </cell>
          <cell r="D45">
            <v>1070.62064516129</v>
          </cell>
          <cell r="E45">
            <v>0</v>
          </cell>
          <cell r="F45">
            <v>1406.3741935483899</v>
          </cell>
          <cell r="G45">
            <v>0</v>
          </cell>
          <cell r="H45">
            <v>1511.0422580645202</v>
          </cell>
          <cell r="I45">
            <v>652.51032258064504</v>
          </cell>
          <cell r="O45">
            <v>6751.53548387098</v>
          </cell>
        </row>
        <row r="46">
          <cell r="A46">
            <v>36280</v>
          </cell>
          <cell r="B46">
            <v>34.155999999999999</v>
          </cell>
          <cell r="C46">
            <v>1046.596</v>
          </cell>
          <cell r="D46">
            <v>289.13200000000001</v>
          </cell>
          <cell r="E46">
            <v>0</v>
          </cell>
          <cell r="F46">
            <v>1151.2226666666702</v>
          </cell>
          <cell r="G46">
            <v>0</v>
          </cell>
          <cell r="H46">
            <v>310.85533333333302</v>
          </cell>
          <cell r="I46">
            <v>0</v>
          </cell>
          <cell r="O46">
            <v>2831.9620000000032</v>
          </cell>
        </row>
        <row r="47">
          <cell r="A47">
            <v>36311</v>
          </cell>
          <cell r="B47">
            <v>0</v>
          </cell>
          <cell r="C47">
            <v>6420.3432258064504</v>
          </cell>
          <cell r="D47">
            <v>250.000967741935</v>
          </cell>
          <cell r="E47">
            <v>0</v>
          </cell>
          <cell r="F47">
            <v>5294.03</v>
          </cell>
          <cell r="G47">
            <v>0</v>
          </cell>
          <cell r="H47">
            <v>4906.6558064516103</v>
          </cell>
          <cell r="I47">
            <v>0</v>
          </cell>
          <cell r="J47">
            <v>8198.4077419354799</v>
          </cell>
          <cell r="O47">
            <v>25069.437741935475</v>
          </cell>
        </row>
        <row r="48">
          <cell r="A48">
            <v>36341</v>
          </cell>
          <cell r="B48">
            <v>2955.2326666666704</v>
          </cell>
          <cell r="C48">
            <v>7336.8896666666697</v>
          </cell>
          <cell r="D48">
            <v>3593.33</v>
          </cell>
          <cell r="E48">
            <v>0</v>
          </cell>
          <cell r="F48">
            <v>6655.6016666666692</v>
          </cell>
          <cell r="G48">
            <v>0</v>
          </cell>
          <cell r="H48">
            <v>3514.3053333333296</v>
          </cell>
          <cell r="I48">
            <v>0</v>
          </cell>
          <cell r="J48">
            <v>110.968</v>
          </cell>
          <cell r="O48">
            <v>24166.327333333342</v>
          </cell>
        </row>
        <row r="49">
          <cell r="A49">
            <v>36372</v>
          </cell>
          <cell r="B49">
            <v>2371.1003225806498</v>
          </cell>
          <cell r="C49">
            <v>5697.5851612903207</v>
          </cell>
          <cell r="D49">
            <v>3976.0416129032301</v>
          </cell>
          <cell r="E49">
            <v>0</v>
          </cell>
          <cell r="F49">
            <v>0</v>
          </cell>
          <cell r="G49">
            <v>3712.31193548387</v>
          </cell>
          <cell r="H49">
            <v>3562.1964516129001</v>
          </cell>
          <cell r="I49">
            <v>584.53032258064502</v>
          </cell>
          <cell r="J49">
            <v>0</v>
          </cell>
          <cell r="O49">
            <v>19903.765806451618</v>
          </cell>
        </row>
        <row r="50">
          <cell r="A50">
            <v>36403</v>
          </cell>
          <cell r="B50">
            <v>3542.6051612903202</v>
          </cell>
          <cell r="C50">
            <v>5702.5219354838709</v>
          </cell>
          <cell r="D50">
            <v>3832.54193548387</v>
          </cell>
          <cell r="E50">
            <v>0</v>
          </cell>
          <cell r="F50">
            <v>264.848064516129</v>
          </cell>
          <cell r="G50">
            <v>4775.2529032258099</v>
          </cell>
          <cell r="H50">
            <v>4819.3035483870999</v>
          </cell>
          <cell r="I50">
            <v>465.71516129032301</v>
          </cell>
          <cell r="J50">
            <v>0</v>
          </cell>
          <cell r="O50">
            <v>23402.788709677421</v>
          </cell>
        </row>
        <row r="51">
          <cell r="A51">
            <v>36433</v>
          </cell>
          <cell r="B51">
            <v>2887.3820000000001</v>
          </cell>
          <cell r="C51">
            <v>3829.9556666666704</v>
          </cell>
          <cell r="D51">
            <v>2810.2996666666704</v>
          </cell>
          <cell r="E51">
            <v>0</v>
          </cell>
          <cell r="F51">
            <v>778.79733333333309</v>
          </cell>
          <cell r="G51">
            <v>3103.1380000000004</v>
          </cell>
          <cell r="H51">
            <v>3319.3976666666704</v>
          </cell>
          <cell r="I51">
            <v>0</v>
          </cell>
          <cell r="J51">
            <v>8.7576666666666707</v>
          </cell>
          <cell r="O51">
            <v>16737.728000000014</v>
          </cell>
        </row>
        <row r="52">
          <cell r="A52">
            <v>36464</v>
          </cell>
          <cell r="B52">
            <v>4181.3683870967707</v>
          </cell>
          <cell r="C52">
            <v>5085.2174193548399</v>
          </cell>
          <cell r="D52">
            <v>3736.1316129032302</v>
          </cell>
          <cell r="E52">
            <v>0</v>
          </cell>
          <cell r="F52">
            <v>0</v>
          </cell>
          <cell r="G52">
            <v>4311.1029032258093</v>
          </cell>
          <cell r="H52">
            <v>4629.4612903225807</v>
          </cell>
          <cell r="I52">
            <v>0</v>
          </cell>
          <cell r="J52">
            <v>395.03709677419408</v>
          </cell>
          <cell r="O52">
            <v>22338.318709677424</v>
          </cell>
        </row>
        <row r="53">
          <cell r="A53">
            <v>36494</v>
          </cell>
          <cell r="B53">
            <v>3958.5353333333296</v>
          </cell>
          <cell r="C53">
            <v>4702.8599999999997</v>
          </cell>
          <cell r="D53">
            <v>3599.0460000000003</v>
          </cell>
          <cell r="E53">
            <v>0</v>
          </cell>
          <cell r="F53">
            <v>0</v>
          </cell>
          <cell r="G53">
            <v>4039.0160000000001</v>
          </cell>
          <cell r="H53">
            <v>4406.9189999999999</v>
          </cell>
          <cell r="I53">
            <v>0</v>
          </cell>
          <cell r="J53">
            <v>0</v>
          </cell>
          <cell r="O53">
            <v>20706.37633333333</v>
          </cell>
        </row>
        <row r="54">
          <cell r="A54">
            <v>36525</v>
          </cell>
          <cell r="B54">
            <v>3815.9325806451602</v>
          </cell>
          <cell r="C54">
            <v>5156.1574193548395</v>
          </cell>
          <cell r="D54">
            <v>3334.26774193548</v>
          </cell>
          <cell r="E54">
            <v>0</v>
          </cell>
          <cell r="F54">
            <v>0</v>
          </cell>
          <cell r="G54">
            <v>3736.3854838709703</v>
          </cell>
          <cell r="H54">
            <v>4469.23870967742</v>
          </cell>
          <cell r="I54">
            <v>1183.6074193548402</v>
          </cell>
          <cell r="J54">
            <v>0</v>
          </cell>
          <cell r="O54">
            <v>21695.58935483871</v>
          </cell>
        </row>
        <row r="55">
          <cell r="A55">
            <v>36556</v>
          </cell>
          <cell r="B55">
            <v>2939.6425806451598</v>
          </cell>
          <cell r="C55">
            <v>3786.7432258064505</v>
          </cell>
          <cell r="D55">
            <v>2346.5416129032301</v>
          </cell>
          <cell r="E55">
            <v>1.19354838709677</v>
          </cell>
          <cell r="F55">
            <v>0</v>
          </cell>
          <cell r="G55">
            <v>2823.2674193548401</v>
          </cell>
          <cell r="H55">
            <v>3679.95</v>
          </cell>
          <cell r="I55">
            <v>1849.67</v>
          </cell>
          <cell r="J55">
            <v>0</v>
          </cell>
          <cell r="O55">
            <v>17427.008387096779</v>
          </cell>
        </row>
        <row r="56">
          <cell r="A56">
            <v>36585</v>
          </cell>
          <cell r="B56">
            <v>3081.4106896551702</v>
          </cell>
          <cell r="C56">
            <v>4246.9744827586201</v>
          </cell>
          <cell r="D56">
            <v>2274.1331034482801</v>
          </cell>
          <cell r="E56">
            <v>0</v>
          </cell>
          <cell r="F56">
            <v>33.2703448275862</v>
          </cell>
          <cell r="G56">
            <v>3173.52</v>
          </cell>
          <cell r="H56">
            <v>4778.9613793103399</v>
          </cell>
          <cell r="I56">
            <v>1884.0024137931002</v>
          </cell>
          <cell r="J56">
            <v>71.59</v>
          </cell>
          <cell r="O56">
            <v>19543.862413793096</v>
          </cell>
        </row>
        <row r="57">
          <cell r="A57">
            <v>36616</v>
          </cell>
          <cell r="B57">
            <v>3187.2054838709705</v>
          </cell>
          <cell r="C57">
            <v>4403.30064516129</v>
          </cell>
          <cell r="D57">
            <v>3200.6419354838699</v>
          </cell>
          <cell r="E57">
            <v>18.998709677419399</v>
          </cell>
          <cell r="F57">
            <v>223.60290322580602</v>
          </cell>
          <cell r="G57">
            <v>3490.4038709677402</v>
          </cell>
          <cell r="H57">
            <v>5600.7161290322601</v>
          </cell>
          <cell r="I57">
            <v>1778.31</v>
          </cell>
          <cell r="J57">
            <v>284.69548387096802</v>
          </cell>
          <cell r="O57">
            <v>22187.875161290329</v>
          </cell>
        </row>
        <row r="58">
          <cell r="A58">
            <v>36646</v>
          </cell>
          <cell r="B58">
            <v>1847.53633333333</v>
          </cell>
          <cell r="C58">
            <v>4128.6696666666694</v>
          </cell>
          <cell r="D58">
            <v>1047.4080000000001</v>
          </cell>
          <cell r="E58">
            <v>4.4596666666666689</v>
          </cell>
          <cell r="F58">
            <v>2.448</v>
          </cell>
          <cell r="G58">
            <v>2117.1936666666702</v>
          </cell>
          <cell r="H58">
            <v>4379.1083333333299</v>
          </cell>
          <cell r="I58">
            <v>1640.2170000000001</v>
          </cell>
          <cell r="J58">
            <v>0</v>
          </cell>
          <cell r="O58">
            <v>15167.040666666668</v>
          </cell>
        </row>
        <row r="59">
          <cell r="A59">
            <v>36677</v>
          </cell>
          <cell r="B59">
            <v>3303.9619354838701</v>
          </cell>
          <cell r="C59">
            <v>3499.7032258064505</v>
          </cell>
          <cell r="D59">
            <v>3319.2274193548401</v>
          </cell>
          <cell r="E59">
            <v>30.468064516129001</v>
          </cell>
          <cell r="F59">
            <v>15.295806451612899</v>
          </cell>
          <cell r="G59">
            <v>2942.4538709677404</v>
          </cell>
          <cell r="H59">
            <v>4342.4680645161297</v>
          </cell>
          <cell r="I59">
            <v>733.876451612903</v>
          </cell>
          <cell r="J59">
            <v>251.51516129032302</v>
          </cell>
          <cell r="O59">
            <v>18438.969999999998</v>
          </cell>
        </row>
        <row r="60">
          <cell r="A60">
            <v>36707</v>
          </cell>
          <cell r="B60">
            <v>3125.5663333333296</v>
          </cell>
          <cell r="C60">
            <v>333.56633333333303</v>
          </cell>
          <cell r="D60">
            <v>2841.1750000000002</v>
          </cell>
          <cell r="E60">
            <v>4.6296666666666688</v>
          </cell>
          <cell r="F60">
            <v>0.6</v>
          </cell>
          <cell r="G60">
            <v>2928.5526666666701</v>
          </cell>
          <cell r="H60">
            <v>5151.277</v>
          </cell>
          <cell r="I60">
            <v>1076.56533333333</v>
          </cell>
          <cell r="J60">
            <v>668.17133333333311</v>
          </cell>
          <cell r="O60">
            <v>16130.103666666664</v>
          </cell>
        </row>
        <row r="61">
          <cell r="A61">
            <v>36738</v>
          </cell>
          <cell r="B61">
            <v>2747.9874193548399</v>
          </cell>
          <cell r="C61">
            <v>3788.5945161290301</v>
          </cell>
          <cell r="D61">
            <v>2275.4087096774197</v>
          </cell>
          <cell r="E61">
            <v>0</v>
          </cell>
          <cell r="F61">
            <v>2.7141935483871</v>
          </cell>
          <cell r="G61">
            <v>2984.4280645161302</v>
          </cell>
          <cell r="H61">
            <v>4756.1709677419394</v>
          </cell>
          <cell r="I61">
            <v>1678.6032258064502</v>
          </cell>
          <cell r="J61">
            <v>824.13354838709699</v>
          </cell>
          <cell r="O61">
            <v>19058.040645161294</v>
          </cell>
        </row>
        <row r="62">
          <cell r="A62">
            <v>36769</v>
          </cell>
          <cell r="B62">
            <v>2803.3125806451599</v>
          </cell>
          <cell r="C62">
            <v>4344.7154838709694</v>
          </cell>
          <cell r="D62">
            <v>0</v>
          </cell>
          <cell r="E62">
            <v>0</v>
          </cell>
          <cell r="F62">
            <v>335.26838709677401</v>
          </cell>
          <cell r="G62">
            <v>3075.7083870967704</v>
          </cell>
          <cell r="H62">
            <v>4667.36935483871</v>
          </cell>
          <cell r="I62">
            <v>1706.60064516129</v>
          </cell>
          <cell r="J62">
            <v>1276.4022580645201</v>
          </cell>
          <cell r="O62">
            <v>18209.377096774195</v>
          </cell>
        </row>
        <row r="63">
          <cell r="A63">
            <v>36799</v>
          </cell>
          <cell r="B63">
            <v>265.50833333333304</v>
          </cell>
          <cell r="C63">
            <v>409.98600000000005</v>
          </cell>
          <cell r="D63">
            <v>0</v>
          </cell>
          <cell r="E63">
            <v>0</v>
          </cell>
          <cell r="F63">
            <v>0</v>
          </cell>
          <cell r="G63">
            <v>291.50866666666701</v>
          </cell>
          <cell r="H63">
            <v>441.03766666666701</v>
          </cell>
          <cell r="I63">
            <v>200.69300000000001</v>
          </cell>
          <cell r="J63">
            <v>149.95699999999999</v>
          </cell>
          <cell r="O63">
            <v>1758.6906666666673</v>
          </cell>
        </row>
        <row r="64">
          <cell r="A64">
            <v>36830</v>
          </cell>
          <cell r="B64">
            <v>1504.3370967741901</v>
          </cell>
          <cell r="C64">
            <v>2538.8767741935499</v>
          </cell>
          <cell r="D64">
            <v>0</v>
          </cell>
          <cell r="E64">
            <v>0</v>
          </cell>
          <cell r="F64">
            <v>0.85677419354838702</v>
          </cell>
          <cell r="G64">
            <v>2321.0793548387101</v>
          </cell>
          <cell r="H64">
            <v>2444.0012903225802</v>
          </cell>
          <cell r="I64">
            <v>1166.0338709677403</v>
          </cell>
          <cell r="J64">
            <v>17.281290322580599</v>
          </cell>
          <cell r="O64">
            <v>9992.4664516128996</v>
          </cell>
        </row>
        <row r="65">
          <cell r="A65">
            <v>36860</v>
          </cell>
          <cell r="B65">
            <v>2805.9490000000001</v>
          </cell>
          <cell r="C65">
            <v>4023.875</v>
          </cell>
          <cell r="D65">
            <v>0</v>
          </cell>
          <cell r="E65">
            <v>0</v>
          </cell>
          <cell r="F65">
            <v>510.34200000000004</v>
          </cell>
          <cell r="G65">
            <v>3927.3306666666704</v>
          </cell>
          <cell r="H65">
            <v>4399.1850000000004</v>
          </cell>
          <cell r="I65">
            <v>2153.6193333333299</v>
          </cell>
          <cell r="J65">
            <v>503.60633333333305</v>
          </cell>
          <cell r="O65">
            <v>18323.907333333333</v>
          </cell>
        </row>
        <row r="66">
          <cell r="A66">
            <v>36891</v>
          </cell>
          <cell r="B66">
            <v>2436.4416129032302</v>
          </cell>
          <cell r="C66">
            <v>3464.0670967741898</v>
          </cell>
          <cell r="D66">
            <v>0</v>
          </cell>
          <cell r="E66">
            <v>0</v>
          </cell>
          <cell r="F66">
            <v>1808.2177419354803</v>
          </cell>
          <cell r="G66">
            <v>3474.0383870967703</v>
          </cell>
          <cell r="H66">
            <v>4106.9064516129001</v>
          </cell>
          <cell r="I66">
            <v>513.83612903225799</v>
          </cell>
          <cell r="J66">
            <v>3492.49096774194</v>
          </cell>
          <cell r="K66">
            <v>4639.8264516129002</v>
          </cell>
          <cell r="O66">
            <v>23935.824838709668</v>
          </cell>
        </row>
        <row r="67">
          <cell r="A67">
            <v>36922</v>
          </cell>
          <cell r="B67">
            <v>2229.3625806451601</v>
          </cell>
          <cell r="C67">
            <v>3805.0051612903203</v>
          </cell>
          <cell r="D67">
            <v>0</v>
          </cell>
          <cell r="E67">
            <v>0</v>
          </cell>
          <cell r="F67">
            <v>443.83193548387106</v>
          </cell>
          <cell r="G67">
            <v>3490.26</v>
          </cell>
          <cell r="H67">
            <v>4214.7841935483893</v>
          </cell>
          <cell r="I67">
            <v>0</v>
          </cell>
          <cell r="J67">
            <v>3269.8154838709702</v>
          </cell>
          <cell r="K67">
            <v>7817.3651612903204</v>
          </cell>
          <cell r="O67">
            <v>25270.424516129031</v>
          </cell>
        </row>
        <row r="68">
          <cell r="A68">
            <v>36950</v>
          </cell>
          <cell r="B68">
            <v>1776.2764285714302</v>
          </cell>
          <cell r="C68">
            <v>2997.7953571428602</v>
          </cell>
          <cell r="D68">
            <v>1815.5557142857101</v>
          </cell>
          <cell r="E68">
            <v>0</v>
          </cell>
          <cell r="F68">
            <v>70.18892857142859</v>
          </cell>
          <cell r="G68">
            <v>2745.8907142857097</v>
          </cell>
          <cell r="H68">
            <v>3406.1071428571404</v>
          </cell>
          <cell r="I68">
            <v>0</v>
          </cell>
          <cell r="J68">
            <v>2779.0657142857099</v>
          </cell>
          <cell r="K68">
            <v>4978.615714285711</v>
          </cell>
          <cell r="O68">
            <v>20569.495714285702</v>
          </cell>
        </row>
        <row r="69">
          <cell r="A69">
            <v>36981</v>
          </cell>
          <cell r="B69">
            <v>1665.8548387096801</v>
          </cell>
          <cell r="C69">
            <v>2529.8858064516103</v>
          </cell>
          <cell r="D69">
            <v>3042.3880645161298</v>
          </cell>
          <cell r="E69">
            <v>0</v>
          </cell>
          <cell r="F69">
            <v>26.6477419354839</v>
          </cell>
          <cell r="G69">
            <v>2200.2667741935497</v>
          </cell>
          <cell r="H69">
            <v>3645.7241935483908</v>
          </cell>
          <cell r="I69">
            <v>0</v>
          </cell>
          <cell r="J69">
            <v>5080.1567741935505</v>
          </cell>
          <cell r="K69">
            <v>4904.2238709677404</v>
          </cell>
          <cell r="O69">
            <v>23095.148064516135</v>
          </cell>
        </row>
        <row r="70">
          <cell r="A70">
            <v>37011</v>
          </cell>
          <cell r="B70">
            <v>1626.8673333333302</v>
          </cell>
          <cell r="C70">
            <v>2705.1966666666704</v>
          </cell>
          <cell r="D70">
            <v>0</v>
          </cell>
          <cell r="E70">
            <v>0</v>
          </cell>
          <cell r="F70">
            <v>1888.2180000000001</v>
          </cell>
          <cell r="G70">
            <v>2506.4590000000003</v>
          </cell>
          <cell r="H70">
            <v>3522.6076666666704</v>
          </cell>
          <cell r="I70">
            <v>0</v>
          </cell>
          <cell r="J70">
            <v>6603.7143333333306</v>
          </cell>
          <cell r="K70">
            <v>4222.0320000000002</v>
          </cell>
          <cell r="O70">
            <v>23075.095000000001</v>
          </cell>
        </row>
        <row r="71">
          <cell r="A71">
            <v>37042</v>
          </cell>
          <cell r="B71">
            <v>339.43806451612897</v>
          </cell>
          <cell r="C71">
            <v>2969.8345161290299</v>
          </cell>
          <cell r="D71">
            <v>622.85838709677398</v>
          </cell>
          <cell r="E71">
            <v>0</v>
          </cell>
          <cell r="F71">
            <v>690.680322580645</v>
          </cell>
          <cell r="G71">
            <v>2751.0648387096803</v>
          </cell>
          <cell r="H71">
            <v>3605.0919354838702</v>
          </cell>
          <cell r="I71">
            <v>0</v>
          </cell>
          <cell r="J71">
            <v>8073.5087096774205</v>
          </cell>
          <cell r="K71">
            <v>3735.0761290322603</v>
          </cell>
          <cell r="O71">
            <v>22787.552903225809</v>
          </cell>
        </row>
        <row r="72">
          <cell r="A72">
            <v>37072</v>
          </cell>
          <cell r="B72">
            <v>0</v>
          </cell>
          <cell r="C72">
            <v>2095.5163333333298</v>
          </cell>
          <cell r="D72">
            <v>3204.4986666666705</v>
          </cell>
          <cell r="E72">
            <v>0</v>
          </cell>
          <cell r="F72">
            <v>453.26466666666704</v>
          </cell>
          <cell r="G72">
            <v>2425.4813333333295</v>
          </cell>
          <cell r="H72">
            <v>3141.8336666666701</v>
          </cell>
          <cell r="I72">
            <v>0</v>
          </cell>
          <cell r="J72">
            <v>6616.491</v>
          </cell>
          <cell r="K72">
            <v>3013.2853333333296</v>
          </cell>
          <cell r="O72">
            <v>20950.370999999996</v>
          </cell>
        </row>
        <row r="73">
          <cell r="A73">
            <v>37103</v>
          </cell>
          <cell r="B73">
            <v>0</v>
          </cell>
          <cell r="C73">
            <v>2816.8161290322601</v>
          </cell>
          <cell r="D73">
            <v>2737.5270967741899</v>
          </cell>
          <cell r="E73">
            <v>0</v>
          </cell>
          <cell r="F73">
            <v>0</v>
          </cell>
          <cell r="G73">
            <v>2330.5167741935497</v>
          </cell>
          <cell r="H73">
            <v>3303.3916129032305</v>
          </cell>
          <cell r="I73">
            <v>0</v>
          </cell>
          <cell r="J73">
            <v>7829.3925806451598</v>
          </cell>
          <cell r="K73">
            <v>3155.75677419355</v>
          </cell>
          <cell r="O73">
            <v>22173.400967741938</v>
          </cell>
        </row>
        <row r="74">
          <cell r="A74">
            <v>37134</v>
          </cell>
          <cell r="B74">
            <v>0</v>
          </cell>
          <cell r="C74">
            <v>2963.4338709677404</v>
          </cell>
          <cell r="D74">
            <v>2453.8345161290299</v>
          </cell>
          <cell r="E74">
            <v>0</v>
          </cell>
          <cell r="F74">
            <v>103.003548387097</v>
          </cell>
          <cell r="G74">
            <v>2392.03967741935</v>
          </cell>
          <cell r="H74">
            <v>3398.6180645161298</v>
          </cell>
          <cell r="I74">
            <v>0</v>
          </cell>
          <cell r="J74">
            <v>7991.6048387096798</v>
          </cell>
          <cell r="K74">
            <v>3048.1390322580601</v>
          </cell>
          <cell r="O74">
            <v>22350.673548387083</v>
          </cell>
        </row>
        <row r="75">
          <cell r="A75">
            <v>37164</v>
          </cell>
          <cell r="B75">
            <v>0</v>
          </cell>
          <cell r="C75">
            <v>2125.6576666666701</v>
          </cell>
          <cell r="D75">
            <v>2632.6013333333299</v>
          </cell>
          <cell r="E75">
            <v>0</v>
          </cell>
          <cell r="F75">
            <v>1817.2396666666702</v>
          </cell>
          <cell r="G75">
            <v>2238.0036666666701</v>
          </cell>
          <cell r="H75">
            <v>3334.0750000000003</v>
          </cell>
          <cell r="I75">
            <v>0</v>
          </cell>
          <cell r="J75">
            <v>7147.42133333333</v>
          </cell>
          <cell r="K75">
            <v>2880.2836666666703</v>
          </cell>
          <cell r="O75">
            <v>22175.282333333344</v>
          </cell>
        </row>
        <row r="76">
          <cell r="A76">
            <v>37195</v>
          </cell>
          <cell r="B76">
            <v>0</v>
          </cell>
          <cell r="C76">
            <v>2721.5183870967703</v>
          </cell>
          <cell r="D76">
            <v>1735.69451612903</v>
          </cell>
          <cell r="E76">
            <v>0</v>
          </cell>
          <cell r="F76">
            <v>834.54741935483901</v>
          </cell>
          <cell r="G76">
            <v>1267.2835483871002</v>
          </cell>
          <cell r="H76">
            <v>2897.2929032258098</v>
          </cell>
          <cell r="I76">
            <v>1000.9796774193501</v>
          </cell>
          <cell r="J76">
            <v>5220.5629032258094</v>
          </cell>
          <cell r="K76">
            <v>1962.7809677419402</v>
          </cell>
          <cell r="L76">
            <v>9057.9867741935504</v>
          </cell>
          <cell r="O76">
            <v>26698.647096774199</v>
          </cell>
        </row>
        <row r="77">
          <cell r="A77">
            <v>37225</v>
          </cell>
          <cell r="B77">
            <v>0</v>
          </cell>
          <cell r="C77">
            <v>3426.7675903348068</v>
          </cell>
          <cell r="D77">
            <v>800.71915673644753</v>
          </cell>
          <cell r="E77">
            <v>0</v>
          </cell>
          <cell r="F77">
            <v>3414.313133300805</v>
          </cell>
          <cell r="G77">
            <v>1480.092149848708</v>
          </cell>
          <cell r="H77">
            <v>2809.7946528436682</v>
          </cell>
          <cell r="I77">
            <v>2255.7883347946017</v>
          </cell>
          <cell r="J77">
            <v>4854.0295624243045</v>
          </cell>
          <cell r="K77">
            <v>2178.0469732202637</v>
          </cell>
          <cell r="L77">
            <v>10236.143045346233</v>
          </cell>
          <cell r="O77">
            <v>31455.694598849834</v>
          </cell>
        </row>
        <row r="78">
          <cell r="A78">
            <v>37256</v>
          </cell>
          <cell r="B78">
            <v>0</v>
          </cell>
          <cell r="C78">
            <v>3607.3627787928726</v>
          </cell>
          <cell r="D78">
            <v>2402.3231330833987</v>
          </cell>
          <cell r="E78">
            <v>0</v>
          </cell>
          <cell r="F78">
            <v>4218.40527072228</v>
          </cell>
          <cell r="G78">
            <v>1893.8574029073136</v>
          </cell>
          <cell r="H78">
            <v>2508.1833737698539</v>
          </cell>
          <cell r="I78">
            <v>22.060836602016892</v>
          </cell>
          <cell r="J78">
            <v>4587.6610651345291</v>
          </cell>
          <cell r="K78">
            <v>2395.0737938814996</v>
          </cell>
          <cell r="L78">
            <v>10231.465602474424</v>
          </cell>
          <cell r="O78">
            <v>31866.393257368189</v>
          </cell>
        </row>
        <row r="79">
          <cell r="A79">
            <v>37287</v>
          </cell>
          <cell r="B79">
            <v>0</v>
          </cell>
          <cell r="C79">
            <v>3270.8882428675556</v>
          </cell>
          <cell r="D79">
            <v>2406.325210724211</v>
          </cell>
          <cell r="E79">
            <v>0</v>
          </cell>
          <cell r="F79">
            <v>4739.7776617051977</v>
          </cell>
          <cell r="G79">
            <v>1889.7618553468394</v>
          </cell>
          <cell r="H79">
            <v>2260.6284277578961</v>
          </cell>
          <cell r="I79">
            <v>81.987853318810735</v>
          </cell>
          <cell r="J79">
            <v>4358.7384121744408</v>
          </cell>
          <cell r="K79">
            <v>2905.0945390886259</v>
          </cell>
          <cell r="L79">
            <v>8533.0595782476976</v>
          </cell>
          <cell r="O79">
            <v>30446.261781231275</v>
          </cell>
        </row>
        <row r="80">
          <cell r="A80">
            <v>37315</v>
          </cell>
          <cell r="B80">
            <v>0</v>
          </cell>
          <cell r="C80">
            <v>3323.9708533163184</v>
          </cell>
          <cell r="D80">
            <v>2294.8971009868196</v>
          </cell>
          <cell r="E80">
            <v>0</v>
          </cell>
          <cell r="F80">
            <v>4354.6690311531138</v>
          </cell>
          <cell r="G80">
            <v>1583.6313499734279</v>
          </cell>
          <cell r="H80">
            <v>2194.4038447348398</v>
          </cell>
          <cell r="I80">
            <v>380.74087046182251</v>
          </cell>
          <cell r="J80">
            <v>3543.2289040396108</v>
          </cell>
          <cell r="K80">
            <v>2986.8671089653481</v>
          </cell>
          <cell r="L80">
            <v>7154.6709289157352</v>
          </cell>
          <cell r="O80">
            <v>27817.079992547035</v>
          </cell>
        </row>
        <row r="81">
          <cell r="A81">
            <v>37346</v>
          </cell>
          <cell r="B81">
            <v>0</v>
          </cell>
          <cell r="C81">
            <v>3403.3650881065282</v>
          </cell>
          <cell r="D81">
            <v>2186.9013843325183</v>
          </cell>
          <cell r="E81">
            <v>0</v>
          </cell>
          <cell r="F81">
            <v>4135.9418731656997</v>
          </cell>
          <cell r="G81">
            <v>1334.2860013457873</v>
          </cell>
          <cell r="H81">
            <v>2013.8829678793018</v>
          </cell>
          <cell r="I81">
            <v>1.4789270730048314</v>
          </cell>
          <cell r="J81">
            <v>3839.4850003157044</v>
          </cell>
          <cell r="K81">
            <v>2898.1660843812119</v>
          </cell>
          <cell r="L81">
            <v>6506.2129862265629</v>
          </cell>
          <cell r="O81">
            <v>26319.720312826321</v>
          </cell>
        </row>
        <row r="82">
          <cell r="A82">
            <v>37376</v>
          </cell>
        </row>
        <row r="86">
          <cell r="A86">
            <v>35095</v>
          </cell>
          <cell r="G86">
            <v>0</v>
          </cell>
          <cell r="O86">
            <v>0</v>
          </cell>
        </row>
        <row r="87">
          <cell r="A87">
            <v>35124</v>
          </cell>
          <cell r="D87">
            <v>0</v>
          </cell>
          <cell r="G87">
            <v>0</v>
          </cell>
          <cell r="O87">
            <v>0</v>
          </cell>
        </row>
        <row r="88">
          <cell r="A88">
            <v>35155</v>
          </cell>
          <cell r="B88">
            <v>0</v>
          </cell>
          <cell r="C88">
            <v>0</v>
          </cell>
          <cell r="D88">
            <v>0</v>
          </cell>
          <cell r="F88">
            <v>0</v>
          </cell>
          <cell r="G88">
            <v>0</v>
          </cell>
          <cell r="O88">
            <v>0</v>
          </cell>
        </row>
        <row r="89">
          <cell r="A89">
            <v>35185</v>
          </cell>
          <cell r="B89">
            <v>0</v>
          </cell>
          <cell r="C89">
            <v>0</v>
          </cell>
          <cell r="D89">
            <v>0</v>
          </cell>
          <cell r="E89">
            <v>0</v>
          </cell>
          <cell r="F89">
            <v>0</v>
          </cell>
          <cell r="G89">
            <v>0</v>
          </cell>
          <cell r="O89">
            <v>0</v>
          </cell>
        </row>
        <row r="90">
          <cell r="A90">
            <v>35216</v>
          </cell>
          <cell r="B90">
            <v>0</v>
          </cell>
          <cell r="C90">
            <v>0</v>
          </cell>
          <cell r="D90">
            <v>0</v>
          </cell>
          <cell r="E90">
            <v>0</v>
          </cell>
          <cell r="F90">
            <v>0</v>
          </cell>
          <cell r="G90">
            <v>0</v>
          </cell>
          <cell r="O90">
            <v>0</v>
          </cell>
        </row>
        <row r="91">
          <cell r="A91">
            <v>35246</v>
          </cell>
          <cell r="B91">
            <v>0</v>
          </cell>
          <cell r="C91">
            <v>0</v>
          </cell>
          <cell r="D91">
            <v>0</v>
          </cell>
          <cell r="E91">
            <v>0</v>
          </cell>
          <cell r="F91">
            <v>0</v>
          </cell>
          <cell r="G91">
            <v>0</v>
          </cell>
          <cell r="O91">
            <v>0</v>
          </cell>
        </row>
        <row r="92">
          <cell r="A92">
            <v>35277</v>
          </cell>
          <cell r="B92">
            <v>0</v>
          </cell>
          <cell r="C92">
            <v>0</v>
          </cell>
          <cell r="D92">
            <v>0</v>
          </cell>
          <cell r="E92">
            <v>0</v>
          </cell>
          <cell r="F92">
            <v>0</v>
          </cell>
          <cell r="G92">
            <v>0</v>
          </cell>
          <cell r="O92">
            <v>0</v>
          </cell>
        </row>
        <row r="93">
          <cell r="A93">
            <v>35308</v>
          </cell>
          <cell r="B93">
            <v>0</v>
          </cell>
          <cell r="C93">
            <v>0</v>
          </cell>
          <cell r="D93">
            <v>0</v>
          </cell>
          <cell r="E93">
            <v>0</v>
          </cell>
          <cell r="F93">
            <v>0</v>
          </cell>
          <cell r="G93">
            <v>0</v>
          </cell>
          <cell r="O93">
            <v>0</v>
          </cell>
        </row>
        <row r="94">
          <cell r="A94">
            <v>35338</v>
          </cell>
          <cell r="B94">
            <v>0</v>
          </cell>
          <cell r="C94">
            <v>0</v>
          </cell>
          <cell r="D94">
            <v>0</v>
          </cell>
          <cell r="E94">
            <v>0</v>
          </cell>
          <cell r="F94">
            <v>0</v>
          </cell>
          <cell r="G94">
            <v>0</v>
          </cell>
          <cell r="O94">
            <v>0</v>
          </cell>
        </row>
        <row r="95">
          <cell r="A95">
            <v>35369</v>
          </cell>
          <cell r="B95">
            <v>0</v>
          </cell>
          <cell r="C95">
            <v>0</v>
          </cell>
          <cell r="D95">
            <v>0</v>
          </cell>
          <cell r="E95">
            <v>0</v>
          </cell>
          <cell r="F95">
            <v>0</v>
          </cell>
          <cell r="G95">
            <v>0</v>
          </cell>
          <cell r="O95">
            <v>0</v>
          </cell>
        </row>
        <row r="96">
          <cell r="A96">
            <v>35399</v>
          </cell>
          <cell r="B96">
            <v>0</v>
          </cell>
          <cell r="C96">
            <v>0</v>
          </cell>
          <cell r="D96">
            <v>0</v>
          </cell>
          <cell r="E96">
            <v>0</v>
          </cell>
          <cell r="F96">
            <v>0</v>
          </cell>
          <cell r="G96">
            <v>0</v>
          </cell>
          <cell r="O96">
            <v>0</v>
          </cell>
        </row>
        <row r="97">
          <cell r="A97">
            <v>35430</v>
          </cell>
          <cell r="B97">
            <v>6.93096774193548</v>
          </cell>
          <cell r="C97">
            <v>0</v>
          </cell>
          <cell r="D97">
            <v>49.902580645161301</v>
          </cell>
          <cell r="E97">
            <v>24.199677419354799</v>
          </cell>
          <cell r="F97">
            <v>0</v>
          </cell>
          <cell r="G97">
            <v>47.145161290322598</v>
          </cell>
          <cell r="O97">
            <v>128.17838709677417</v>
          </cell>
        </row>
        <row r="98">
          <cell r="A98">
            <v>35461</v>
          </cell>
          <cell r="B98">
            <v>2.4193548387096801E-2</v>
          </cell>
          <cell r="C98">
            <v>0</v>
          </cell>
          <cell r="D98">
            <v>13.484516129032299</v>
          </cell>
          <cell r="E98">
            <v>0</v>
          </cell>
          <cell r="F98">
            <v>0</v>
          </cell>
          <cell r="G98">
            <v>13.991935483871</v>
          </cell>
          <cell r="O98">
            <v>27.500645161290393</v>
          </cell>
        </row>
        <row r="99">
          <cell r="A99">
            <v>35489</v>
          </cell>
          <cell r="B99">
            <v>0</v>
          </cell>
          <cell r="C99">
            <v>0</v>
          </cell>
          <cell r="D99">
            <v>5.9214285714285699</v>
          </cell>
          <cell r="E99">
            <v>2.2574999999999998</v>
          </cell>
          <cell r="F99">
            <v>7.7521428571428599</v>
          </cell>
          <cell r="G99">
            <v>43.116785714285705</v>
          </cell>
          <cell r="H99">
            <v>0</v>
          </cell>
          <cell r="O99">
            <v>59.047857142857133</v>
          </cell>
        </row>
        <row r="100">
          <cell r="A100">
            <v>35520</v>
          </cell>
          <cell r="B100">
            <v>0</v>
          </cell>
          <cell r="C100">
            <v>0</v>
          </cell>
          <cell r="D100">
            <v>26.484193548387097</v>
          </cell>
          <cell r="E100">
            <v>1.0774193548387099</v>
          </cell>
          <cell r="F100">
            <v>18.790322580645199</v>
          </cell>
          <cell r="G100">
            <v>19.269032258064499</v>
          </cell>
          <cell r="H100">
            <v>0</v>
          </cell>
          <cell r="I100">
            <v>0</v>
          </cell>
          <cell r="O100">
            <v>65.620967741935502</v>
          </cell>
        </row>
        <row r="101">
          <cell r="A101">
            <v>35550</v>
          </cell>
          <cell r="B101">
            <v>61.902333333333303</v>
          </cell>
          <cell r="C101">
            <v>0</v>
          </cell>
          <cell r="D101">
            <v>0</v>
          </cell>
          <cell r="E101">
            <v>4.0926666666666689</v>
          </cell>
          <cell r="F101">
            <v>60.319333333333304</v>
          </cell>
          <cell r="G101">
            <v>45.506666666666696</v>
          </cell>
          <cell r="H101">
            <v>0</v>
          </cell>
          <cell r="I101">
            <v>0</v>
          </cell>
          <cell r="O101">
            <v>171.82099999999997</v>
          </cell>
        </row>
        <row r="102">
          <cell r="A102">
            <v>35581</v>
          </cell>
          <cell r="B102">
            <v>778.05774193548405</v>
          </cell>
          <cell r="C102">
            <v>0</v>
          </cell>
          <cell r="D102">
            <v>100.43612903225801</v>
          </cell>
          <cell r="E102">
            <v>4.5125806451612895</v>
          </cell>
          <cell r="F102">
            <v>12.891935483871</v>
          </cell>
          <cell r="G102">
            <v>427.26064516129003</v>
          </cell>
          <cell r="H102">
            <v>0</v>
          </cell>
          <cell r="I102">
            <v>0</v>
          </cell>
          <cell r="O102">
            <v>1323.1590322580644</v>
          </cell>
        </row>
        <row r="103">
          <cell r="A103">
            <v>35611</v>
          </cell>
          <cell r="B103">
            <v>1260.1593333333301</v>
          </cell>
          <cell r="C103">
            <v>0</v>
          </cell>
          <cell r="D103">
            <v>544.1523333333331</v>
          </cell>
          <cell r="E103">
            <v>5.5873333333333299</v>
          </cell>
          <cell r="F103">
            <v>2.7423333333333297</v>
          </cell>
          <cell r="G103">
            <v>809.27633333333301</v>
          </cell>
          <cell r="H103">
            <v>0</v>
          </cell>
          <cell r="I103">
            <v>0</v>
          </cell>
          <cell r="O103">
            <v>2621.9176666666631</v>
          </cell>
        </row>
        <row r="104">
          <cell r="A104">
            <v>35642</v>
          </cell>
          <cell r="B104">
            <v>349.18806451612903</v>
          </cell>
          <cell r="C104">
            <v>0</v>
          </cell>
          <cell r="D104">
            <v>835.35580645161303</v>
          </cell>
          <cell r="E104">
            <v>5.7664516129032295</v>
          </cell>
          <cell r="F104">
            <v>3.1041935483871002</v>
          </cell>
          <cell r="G104">
            <v>1392.2922580645202</v>
          </cell>
          <cell r="H104">
            <v>0</v>
          </cell>
          <cell r="I104">
            <v>38.783870967741905</v>
          </cell>
          <cell r="O104">
            <v>2624.4906451612942</v>
          </cell>
        </row>
        <row r="105">
          <cell r="A105">
            <v>35673</v>
          </cell>
          <cell r="B105">
            <v>328.74419354838699</v>
          </cell>
          <cell r="C105">
            <v>0</v>
          </cell>
          <cell r="D105">
            <v>303.58290322580598</v>
          </cell>
          <cell r="E105">
            <v>4.8532258064516105</v>
          </cell>
          <cell r="F105">
            <v>0.67161290322580602</v>
          </cell>
          <cell r="G105">
            <v>108.669677419355</v>
          </cell>
          <cell r="H105">
            <v>0</v>
          </cell>
          <cell r="I105">
            <v>39.820645161290301</v>
          </cell>
          <cell r="O105">
            <v>786.3422580645157</v>
          </cell>
        </row>
        <row r="106">
          <cell r="A106">
            <v>35703</v>
          </cell>
          <cell r="B106">
            <v>580.7236666666671</v>
          </cell>
          <cell r="C106">
            <v>0</v>
          </cell>
          <cell r="D106">
            <v>743.61700000000008</v>
          </cell>
          <cell r="E106">
            <v>5.5516666666666694</v>
          </cell>
          <cell r="F106">
            <v>0</v>
          </cell>
          <cell r="G106">
            <v>0</v>
          </cell>
          <cell r="H106">
            <v>0</v>
          </cell>
          <cell r="I106">
            <v>9.9796666666666702</v>
          </cell>
          <cell r="O106">
            <v>1339.8720000000005</v>
          </cell>
        </row>
        <row r="107">
          <cell r="A107">
            <v>35734</v>
          </cell>
          <cell r="B107">
            <v>1324.0558064516101</v>
          </cell>
          <cell r="C107">
            <v>0</v>
          </cell>
          <cell r="D107">
            <v>1994.77096774194</v>
          </cell>
          <cell r="E107">
            <v>11.409032258064499</v>
          </cell>
          <cell r="F107">
            <v>0</v>
          </cell>
          <cell r="G107">
            <v>0</v>
          </cell>
          <cell r="H107">
            <v>600.942580645161</v>
          </cell>
          <cell r="I107">
            <v>0</v>
          </cell>
          <cell r="O107">
            <v>3931.1783870967756</v>
          </cell>
        </row>
        <row r="108">
          <cell r="A108">
            <v>35764</v>
          </cell>
          <cell r="B108">
            <v>1806.029</v>
          </cell>
          <cell r="C108">
            <v>0</v>
          </cell>
          <cell r="D108">
            <v>2726.2346666666704</v>
          </cell>
          <cell r="E108">
            <v>17.590666666666699</v>
          </cell>
          <cell r="F108">
            <v>0</v>
          </cell>
          <cell r="G108">
            <v>0</v>
          </cell>
          <cell r="H108">
            <v>1653.8553333333302</v>
          </cell>
          <cell r="I108">
            <v>2.6816666666666702</v>
          </cell>
          <cell r="O108">
            <v>6206.3913333333339</v>
          </cell>
        </row>
        <row r="109">
          <cell r="A109">
            <v>35795</v>
          </cell>
          <cell r="B109">
            <v>2091.9138709677404</v>
          </cell>
          <cell r="C109">
            <v>0</v>
          </cell>
          <cell r="D109">
            <v>2674.33</v>
          </cell>
          <cell r="E109">
            <v>6.3080645161290301</v>
          </cell>
          <cell r="F109">
            <v>0</v>
          </cell>
          <cell r="G109">
            <v>0</v>
          </cell>
          <cell r="H109">
            <v>2382.4829032258099</v>
          </cell>
          <cell r="I109">
            <v>12.638387096774201</v>
          </cell>
          <cell r="O109">
            <v>7167.673225806454</v>
          </cell>
        </row>
        <row r="110">
          <cell r="A110">
            <v>35826</v>
          </cell>
          <cell r="B110">
            <v>1948.4209677419401</v>
          </cell>
          <cell r="C110">
            <v>0</v>
          </cell>
          <cell r="D110">
            <v>3033.40709677419</v>
          </cell>
          <cell r="E110">
            <v>105.10483870967701</v>
          </cell>
          <cell r="F110">
            <v>0</v>
          </cell>
          <cell r="G110">
            <v>0</v>
          </cell>
          <cell r="H110">
            <v>2123.4441935483906</v>
          </cell>
          <cell r="I110">
            <v>2.4348387096774204</v>
          </cell>
          <cell r="O110">
            <v>7212.8119354838755</v>
          </cell>
        </row>
        <row r="111">
          <cell r="A111">
            <v>35854</v>
          </cell>
          <cell r="B111">
            <v>1673.2739285714301</v>
          </cell>
          <cell r="C111">
            <v>0</v>
          </cell>
          <cell r="D111">
            <v>1704.9585714285702</v>
          </cell>
          <cell r="E111">
            <v>153.17250000000001</v>
          </cell>
          <cell r="F111">
            <v>0</v>
          </cell>
          <cell r="G111">
            <v>0</v>
          </cell>
          <cell r="H111">
            <v>2513.5971428571402</v>
          </cell>
          <cell r="I111">
            <v>0.82214285714285695</v>
          </cell>
          <cell r="O111">
            <v>6045.8242857142832</v>
          </cell>
        </row>
        <row r="112">
          <cell r="A112">
            <v>35885</v>
          </cell>
          <cell r="B112">
            <v>0</v>
          </cell>
          <cell r="C112">
            <v>0</v>
          </cell>
          <cell r="D112">
            <v>1.0916129032258099</v>
          </cell>
          <cell r="E112">
            <v>164.37903225806502</v>
          </cell>
          <cell r="F112">
            <v>0</v>
          </cell>
          <cell r="G112">
            <v>0</v>
          </cell>
          <cell r="H112">
            <v>2438.8558064516105</v>
          </cell>
          <cell r="I112">
            <v>0</v>
          </cell>
          <cell r="O112">
            <v>2604.3264516129016</v>
          </cell>
        </row>
        <row r="113">
          <cell r="A113">
            <v>35915</v>
          </cell>
          <cell r="B113">
            <v>0</v>
          </cell>
          <cell r="C113">
            <v>0</v>
          </cell>
          <cell r="D113">
            <v>642.99066666666715</v>
          </cell>
          <cell r="E113">
            <v>107.411</v>
          </cell>
          <cell r="F113">
            <v>617.07866666666712</v>
          </cell>
          <cell r="G113">
            <v>88.481000000000009</v>
          </cell>
          <cell r="H113">
            <v>3829.8906666666703</v>
          </cell>
          <cell r="I113">
            <v>0</v>
          </cell>
          <cell r="O113">
            <v>5285.8520000000044</v>
          </cell>
        </row>
        <row r="114">
          <cell r="A114">
            <v>35946</v>
          </cell>
          <cell r="B114">
            <v>679.0012903225811</v>
          </cell>
          <cell r="C114">
            <v>0</v>
          </cell>
          <cell r="D114">
            <v>2744.6906451612904</v>
          </cell>
          <cell r="E114">
            <v>0</v>
          </cell>
          <cell r="F114">
            <v>582.23354838709702</v>
          </cell>
          <cell r="G114">
            <v>1281.84516129032</v>
          </cell>
          <cell r="H114">
            <v>3861.68806451613</v>
          </cell>
          <cell r="I114">
            <v>0</v>
          </cell>
          <cell r="O114">
            <v>9149.4587096774194</v>
          </cell>
        </row>
        <row r="115">
          <cell r="A115">
            <v>35976</v>
          </cell>
          <cell r="B115">
            <v>2097.2073333333296</v>
          </cell>
          <cell r="C115">
            <v>0</v>
          </cell>
          <cell r="D115">
            <v>1602.7066666666701</v>
          </cell>
          <cell r="E115">
            <v>0</v>
          </cell>
          <cell r="F115">
            <v>405.39499999999998</v>
          </cell>
          <cell r="G115">
            <v>1179.1296666666701</v>
          </cell>
          <cell r="H115">
            <v>2895.0320000000002</v>
          </cell>
          <cell r="I115">
            <v>0.50333333333333297</v>
          </cell>
          <cell r="O115">
            <v>8179.9740000000029</v>
          </cell>
        </row>
        <row r="116">
          <cell r="A116">
            <v>36007</v>
          </cell>
          <cell r="B116">
            <v>287.84612903225803</v>
          </cell>
          <cell r="C116">
            <v>0</v>
          </cell>
          <cell r="D116">
            <v>238.059032258065</v>
          </cell>
          <cell r="E116">
            <v>0</v>
          </cell>
          <cell r="F116">
            <v>0</v>
          </cell>
          <cell r="G116">
            <v>136.70612903225802</v>
          </cell>
          <cell r="H116">
            <v>353.26806451612902</v>
          </cell>
          <cell r="I116">
            <v>6.4177419354838694</v>
          </cell>
          <cell r="O116">
            <v>1022.2970967741938</v>
          </cell>
        </row>
        <row r="117">
          <cell r="A117">
            <v>36038</v>
          </cell>
          <cell r="B117">
            <v>3364.2777419354798</v>
          </cell>
          <cell r="C117">
            <v>4.2241935483870998</v>
          </cell>
          <cell r="D117">
            <v>3605.86516129032</v>
          </cell>
          <cell r="E117">
            <v>0</v>
          </cell>
          <cell r="F117">
            <v>544.20064516129003</v>
          </cell>
          <cell r="G117">
            <v>1787.7529032258103</v>
          </cell>
          <cell r="H117">
            <v>2015.9816129032301</v>
          </cell>
          <cell r="I117">
            <v>203.93</v>
          </cell>
          <cell r="O117">
            <v>11526.232258064518</v>
          </cell>
        </row>
        <row r="118">
          <cell r="A118">
            <v>36068</v>
          </cell>
          <cell r="B118">
            <v>3818.5313333333297</v>
          </cell>
          <cell r="C118">
            <v>8.7366666666666699</v>
          </cell>
          <cell r="D118">
            <v>3870.1163333333297</v>
          </cell>
          <cell r="E118">
            <v>0.77166666666666706</v>
          </cell>
          <cell r="F118">
            <v>1728.8046666666703</v>
          </cell>
          <cell r="G118">
            <v>3376.5716666666704</v>
          </cell>
          <cell r="H118">
            <v>0</v>
          </cell>
          <cell r="I118">
            <v>701.99099999999999</v>
          </cell>
          <cell r="O118">
            <v>13505.523333333333</v>
          </cell>
        </row>
        <row r="119">
          <cell r="A119">
            <v>36099</v>
          </cell>
          <cell r="B119">
            <v>3046.40064516129</v>
          </cell>
          <cell r="C119">
            <v>10.088064516128998</v>
          </cell>
          <cell r="D119">
            <v>1334.0483870967701</v>
          </cell>
          <cell r="E119">
            <v>31.615483870967697</v>
          </cell>
          <cell r="F119">
            <v>21.008064516129</v>
          </cell>
          <cell r="G119">
            <v>2999.2048387096802</v>
          </cell>
          <cell r="H119">
            <v>0</v>
          </cell>
          <cell r="I119">
            <v>1152.3641935483899</v>
          </cell>
          <cell r="O119">
            <v>8594.7296774193564</v>
          </cell>
        </row>
        <row r="120">
          <cell r="A120">
            <v>36129</v>
          </cell>
          <cell r="B120">
            <v>600.56366666666713</v>
          </cell>
          <cell r="C120">
            <v>12.978</v>
          </cell>
          <cell r="D120">
            <v>0</v>
          </cell>
          <cell r="E120">
            <v>0</v>
          </cell>
          <cell r="F120">
            <v>1.2853333333333299</v>
          </cell>
          <cell r="G120">
            <v>3854.4796666666703</v>
          </cell>
          <cell r="H120">
            <v>0</v>
          </cell>
          <cell r="I120">
            <v>1520.9560000000001</v>
          </cell>
          <cell r="O120">
            <v>5990.2626666666711</v>
          </cell>
        </row>
        <row r="121">
          <cell r="A121">
            <v>36160</v>
          </cell>
          <cell r="B121">
            <v>0</v>
          </cell>
          <cell r="C121">
            <v>13.232903225806499</v>
          </cell>
          <cell r="D121">
            <v>0</v>
          </cell>
          <cell r="E121">
            <v>0</v>
          </cell>
          <cell r="F121">
            <v>0</v>
          </cell>
          <cell r="G121">
            <v>5147.3151612903202</v>
          </cell>
          <cell r="H121">
            <v>0</v>
          </cell>
          <cell r="I121">
            <v>1819.1125806451603</v>
          </cell>
          <cell r="O121">
            <v>6979.660645161287</v>
          </cell>
        </row>
        <row r="122">
          <cell r="A122">
            <v>36191</v>
          </cell>
          <cell r="B122">
            <v>352.00419354838698</v>
          </cell>
          <cell r="C122">
            <v>49.3690322580645</v>
          </cell>
          <cell r="D122">
            <v>0</v>
          </cell>
          <cell r="E122">
            <v>0</v>
          </cell>
          <cell r="F122">
            <v>152.28225806451601</v>
          </cell>
          <cell r="G122">
            <v>4087.15935483871</v>
          </cell>
          <cell r="H122">
            <v>0</v>
          </cell>
          <cell r="I122">
            <v>1805.7112903225802</v>
          </cell>
          <cell r="O122">
            <v>6446.5261290322578</v>
          </cell>
        </row>
        <row r="123">
          <cell r="A123">
            <v>36219</v>
          </cell>
          <cell r="B123">
            <v>2649.1492857142903</v>
          </cell>
          <cell r="C123">
            <v>315.47214285714301</v>
          </cell>
          <cell r="D123">
            <v>1456.5021428571401</v>
          </cell>
          <cell r="E123">
            <v>0</v>
          </cell>
          <cell r="F123">
            <v>1264.0767857142901</v>
          </cell>
          <cell r="G123">
            <v>0</v>
          </cell>
          <cell r="H123">
            <v>208.123214285714</v>
          </cell>
          <cell r="I123">
            <v>1907.1985714285702</v>
          </cell>
          <cell r="O123">
            <v>7800.5221428571476</v>
          </cell>
        </row>
        <row r="124">
          <cell r="A124">
            <v>36250</v>
          </cell>
          <cell r="B124">
            <v>546.09354838709703</v>
          </cell>
          <cell r="C124">
            <v>51.0651612903226</v>
          </cell>
          <cell r="D124">
            <v>259.25580645161307</v>
          </cell>
          <cell r="E124">
            <v>0</v>
          </cell>
          <cell r="F124">
            <v>279.01387096774204</v>
          </cell>
          <cell r="G124">
            <v>0</v>
          </cell>
          <cell r="H124">
            <v>77.040000000000006</v>
          </cell>
          <cell r="I124">
            <v>340.31741935483905</v>
          </cell>
          <cell r="O124">
            <v>1552.7858064516138</v>
          </cell>
        </row>
        <row r="125">
          <cell r="A125">
            <v>36280</v>
          </cell>
          <cell r="B125">
            <v>4.7720000000000002</v>
          </cell>
          <cell r="C125">
            <v>9.1370000000000005</v>
          </cell>
          <cell r="D125">
            <v>15.146000000000001</v>
          </cell>
          <cell r="E125">
            <v>0</v>
          </cell>
          <cell r="F125">
            <v>49.412666666666695</v>
          </cell>
          <cell r="G125">
            <v>0</v>
          </cell>
          <cell r="H125">
            <v>3.4280000000000004</v>
          </cell>
          <cell r="I125">
            <v>0</v>
          </cell>
          <cell r="O125">
            <v>81.895666666666699</v>
          </cell>
        </row>
        <row r="126">
          <cell r="A126">
            <v>36311</v>
          </cell>
          <cell r="B126">
            <v>0</v>
          </cell>
          <cell r="C126">
            <v>531.86032258064506</v>
          </cell>
          <cell r="D126">
            <v>46.595161290322601</v>
          </cell>
          <cell r="E126">
            <v>0</v>
          </cell>
          <cell r="F126">
            <v>751.81096774193509</v>
          </cell>
          <cell r="G126">
            <v>0</v>
          </cell>
          <cell r="H126">
            <v>942.39419354838708</v>
          </cell>
          <cell r="I126">
            <v>0</v>
          </cell>
          <cell r="J126">
            <v>0</v>
          </cell>
          <cell r="O126">
            <v>2272.6606451612897</v>
          </cell>
        </row>
        <row r="127">
          <cell r="A127">
            <v>36341</v>
          </cell>
          <cell r="B127">
            <v>1027.8096666666702</v>
          </cell>
          <cell r="C127">
            <v>939.19033333333311</v>
          </cell>
          <cell r="D127">
            <v>975.04633333333311</v>
          </cell>
          <cell r="E127">
            <v>0</v>
          </cell>
          <cell r="F127">
            <v>1727.7943333333301</v>
          </cell>
          <cell r="G127">
            <v>0</v>
          </cell>
          <cell r="H127">
            <v>1484.9593333333301</v>
          </cell>
          <cell r="I127">
            <v>0</v>
          </cell>
          <cell r="J127">
            <v>0</v>
          </cell>
          <cell r="O127">
            <v>6154.7999999999975</v>
          </cell>
        </row>
        <row r="128">
          <cell r="A128">
            <v>36372</v>
          </cell>
          <cell r="B128">
            <v>2237.7258064516104</v>
          </cell>
          <cell r="C128">
            <v>1797.4474193548401</v>
          </cell>
          <cell r="D128">
            <v>4076.2861290322603</v>
          </cell>
          <cell r="E128">
            <v>0</v>
          </cell>
          <cell r="F128">
            <v>0</v>
          </cell>
          <cell r="G128">
            <v>1254.8254838709702</v>
          </cell>
          <cell r="H128">
            <v>4168.4541935483894</v>
          </cell>
          <cell r="I128">
            <v>484.64</v>
          </cell>
          <cell r="J128">
            <v>0</v>
          </cell>
          <cell r="O128">
            <v>14019.379032258072</v>
          </cell>
        </row>
        <row r="129">
          <cell r="A129">
            <v>36403</v>
          </cell>
          <cell r="B129">
            <v>2589.7564516129</v>
          </cell>
          <cell r="C129">
            <v>1499.71806451613</v>
          </cell>
          <cell r="D129">
            <v>4031.6306451612904</v>
          </cell>
          <cell r="E129">
            <v>0</v>
          </cell>
          <cell r="F129">
            <v>0</v>
          </cell>
          <cell r="G129">
            <v>4454.6264516129004</v>
          </cell>
          <cell r="H129">
            <v>3983.4283870967702</v>
          </cell>
          <cell r="I129">
            <v>263.79451612903205</v>
          </cell>
          <cell r="J129">
            <v>0</v>
          </cell>
          <cell r="O129">
            <v>16822.954516129026</v>
          </cell>
        </row>
        <row r="130">
          <cell r="A130">
            <v>36433</v>
          </cell>
          <cell r="B130">
            <v>2647.828</v>
          </cell>
          <cell r="C130">
            <v>951.20166666666717</v>
          </cell>
          <cell r="D130">
            <v>2791.7933333333299</v>
          </cell>
          <cell r="E130">
            <v>0</v>
          </cell>
          <cell r="F130">
            <v>0</v>
          </cell>
          <cell r="G130">
            <v>3339.7260000000001</v>
          </cell>
          <cell r="H130">
            <v>3168.3496666666701</v>
          </cell>
          <cell r="I130">
            <v>0</v>
          </cell>
          <cell r="J130">
            <v>0</v>
          </cell>
          <cell r="O130">
            <v>12898.898666666668</v>
          </cell>
        </row>
        <row r="131">
          <cell r="A131">
            <v>36464</v>
          </cell>
          <cell r="B131">
            <v>4120.7916129032301</v>
          </cell>
          <cell r="C131">
            <v>1582.7212903225802</v>
          </cell>
          <cell r="D131">
            <v>4794.0570967741896</v>
          </cell>
          <cell r="E131">
            <v>0</v>
          </cell>
          <cell r="F131">
            <v>0</v>
          </cell>
          <cell r="G131">
            <v>5407.5448387096803</v>
          </cell>
          <cell r="H131">
            <v>4942.7848387096801</v>
          </cell>
          <cell r="I131">
            <v>0</v>
          </cell>
          <cell r="J131">
            <v>0</v>
          </cell>
          <cell r="O131">
            <v>20847.899677419358</v>
          </cell>
        </row>
        <row r="132">
          <cell r="A132">
            <v>36494</v>
          </cell>
          <cell r="B132">
            <v>3869.1013333333299</v>
          </cell>
          <cell r="C132">
            <v>1787.6143333333303</v>
          </cell>
          <cell r="D132">
            <v>4663.1836666666695</v>
          </cell>
          <cell r="E132">
            <v>0</v>
          </cell>
          <cell r="F132">
            <v>0</v>
          </cell>
          <cell r="G132">
            <v>5024.59</v>
          </cell>
          <cell r="H132">
            <v>4666.4840000000004</v>
          </cell>
          <cell r="I132">
            <v>0</v>
          </cell>
          <cell r="J132">
            <v>0</v>
          </cell>
          <cell r="O132">
            <v>20010.973333333328</v>
          </cell>
        </row>
        <row r="133">
          <cell r="A133">
            <v>36525</v>
          </cell>
          <cell r="B133">
            <v>3916.48032258065</v>
          </cell>
          <cell r="C133">
            <v>2011.2480645161299</v>
          </cell>
          <cell r="D133">
            <v>4552.1712903225798</v>
          </cell>
          <cell r="E133">
            <v>0</v>
          </cell>
          <cell r="F133">
            <v>0</v>
          </cell>
          <cell r="G133">
            <v>5101.1683870967709</v>
          </cell>
          <cell r="H133">
            <v>4067.7261290322604</v>
          </cell>
          <cell r="I133">
            <v>580.0667741935481</v>
          </cell>
          <cell r="J133">
            <v>0</v>
          </cell>
          <cell r="O133">
            <v>20228.860967741937</v>
          </cell>
        </row>
        <row r="134">
          <cell r="A134">
            <v>36556</v>
          </cell>
          <cell r="B134">
            <v>4103.7361290322597</v>
          </cell>
          <cell r="C134">
            <v>1885.33838709677</v>
          </cell>
          <cell r="D134">
            <v>3870.38</v>
          </cell>
          <cell r="E134">
            <v>0</v>
          </cell>
          <cell r="F134">
            <v>0</v>
          </cell>
          <cell r="G134">
            <v>4656.6916129032297</v>
          </cell>
          <cell r="H134">
            <v>4030.0967741935497</v>
          </cell>
          <cell r="I134">
            <v>1246.5390322580599</v>
          </cell>
          <cell r="J134">
            <v>0</v>
          </cell>
          <cell r="O134">
            <v>19792.781935483868</v>
          </cell>
        </row>
        <row r="135">
          <cell r="A135">
            <v>36585</v>
          </cell>
          <cell r="B135">
            <v>5106.4975862069005</v>
          </cell>
          <cell r="C135">
            <v>2035.8296551724102</v>
          </cell>
          <cell r="D135">
            <v>3789.87103448276</v>
          </cell>
          <cell r="E135">
            <v>0</v>
          </cell>
          <cell r="F135">
            <v>0</v>
          </cell>
          <cell r="G135">
            <v>5039.7020689655201</v>
          </cell>
          <cell r="H135">
            <v>5039.0079310344809</v>
          </cell>
          <cell r="I135">
            <v>1692.6551724137903</v>
          </cell>
          <cell r="J135">
            <v>0</v>
          </cell>
          <cell r="O135">
            <v>22703.563448275861</v>
          </cell>
        </row>
        <row r="136">
          <cell r="A136">
            <v>36616</v>
          </cell>
          <cell r="B136">
            <v>6439.7493548387101</v>
          </cell>
          <cell r="C136">
            <v>2158.2206451612901</v>
          </cell>
          <cell r="D136">
            <v>6489.7474193548396</v>
          </cell>
          <cell r="E136">
            <v>0</v>
          </cell>
          <cell r="F136">
            <v>0</v>
          </cell>
          <cell r="G136">
            <v>5667.5454838709693</v>
          </cell>
          <cell r="H136">
            <v>6812.3558064516101</v>
          </cell>
          <cell r="I136">
            <v>1841.9893548387101</v>
          </cell>
          <cell r="J136">
            <v>0</v>
          </cell>
          <cell r="O136">
            <v>29409.608064516135</v>
          </cell>
        </row>
        <row r="137">
          <cell r="A137">
            <v>36646</v>
          </cell>
          <cell r="B137">
            <v>3396.5250000000001</v>
          </cell>
          <cell r="C137">
            <v>2291.2793333333298</v>
          </cell>
          <cell r="D137">
            <v>1925.5626666666703</v>
          </cell>
          <cell r="E137">
            <v>0</v>
          </cell>
          <cell r="F137">
            <v>0</v>
          </cell>
          <cell r="G137">
            <v>3127.9753333333297</v>
          </cell>
          <cell r="H137">
            <v>4846.4333333333307</v>
          </cell>
          <cell r="I137">
            <v>1545.8383333333302</v>
          </cell>
          <cell r="J137">
            <v>0</v>
          </cell>
          <cell r="O137">
            <v>17133.61399999999</v>
          </cell>
        </row>
        <row r="138">
          <cell r="A138">
            <v>36677</v>
          </cell>
          <cell r="B138">
            <v>6510.54225806452</v>
          </cell>
          <cell r="C138">
            <v>2081.7993548387099</v>
          </cell>
          <cell r="D138">
            <v>6540.62387096774</v>
          </cell>
          <cell r="E138">
            <v>0</v>
          </cell>
          <cell r="F138">
            <v>0</v>
          </cell>
          <cell r="G138">
            <v>5076.8935483871001</v>
          </cell>
          <cell r="H138">
            <v>5820.2112903225807</v>
          </cell>
          <cell r="I138">
            <v>803.17838709677403</v>
          </cell>
          <cell r="J138">
            <v>0</v>
          </cell>
          <cell r="O138">
            <v>26833.248709677424</v>
          </cell>
        </row>
        <row r="139">
          <cell r="A139">
            <v>36707</v>
          </cell>
          <cell r="B139">
            <v>6544.4346666666697</v>
          </cell>
          <cell r="C139">
            <v>210.838666666667</v>
          </cell>
          <cell r="D139">
            <v>7173.4010000000007</v>
          </cell>
          <cell r="E139">
            <v>0</v>
          </cell>
          <cell r="F139">
            <v>0</v>
          </cell>
          <cell r="G139">
            <v>5369.1186666666699</v>
          </cell>
          <cell r="H139">
            <v>7336.3196666666699</v>
          </cell>
          <cell r="I139">
            <v>1811.5240000000001</v>
          </cell>
          <cell r="J139">
            <v>0</v>
          </cell>
          <cell r="O139">
            <v>28445.636666666676</v>
          </cell>
        </row>
        <row r="140">
          <cell r="A140">
            <v>36738</v>
          </cell>
          <cell r="B140">
            <v>5455.2216129032295</v>
          </cell>
          <cell r="C140">
            <v>971.923870967742</v>
          </cell>
          <cell r="D140">
            <v>5205.6806451612902</v>
          </cell>
          <cell r="E140">
            <v>0</v>
          </cell>
          <cell r="F140">
            <v>0</v>
          </cell>
          <cell r="G140">
            <v>4508.3151612903202</v>
          </cell>
          <cell r="H140">
            <v>5921.3393548387103</v>
          </cell>
          <cell r="I140">
            <v>2264.3116129032301</v>
          </cell>
          <cell r="J140">
            <v>0</v>
          </cell>
          <cell r="O140">
            <v>24326.792258064525</v>
          </cell>
        </row>
        <row r="141">
          <cell r="A141">
            <v>36769</v>
          </cell>
          <cell r="B141">
            <v>6995.2838709677399</v>
          </cell>
          <cell r="C141">
            <v>2163.8551612903202</v>
          </cell>
          <cell r="D141">
            <v>0</v>
          </cell>
          <cell r="E141">
            <v>0</v>
          </cell>
          <cell r="F141">
            <v>0</v>
          </cell>
          <cell r="G141">
            <v>4938.8729032258098</v>
          </cell>
          <cell r="H141">
            <v>6739.7309677419398</v>
          </cell>
          <cell r="I141">
            <v>2637.3196774193502</v>
          </cell>
          <cell r="J141">
            <v>0</v>
          </cell>
          <cell r="O141">
            <v>23475.062580645157</v>
          </cell>
        </row>
        <row r="142">
          <cell r="A142">
            <v>36799</v>
          </cell>
          <cell r="B142">
            <v>592.01366666666706</v>
          </cell>
          <cell r="C142">
            <v>182.45700000000002</v>
          </cell>
          <cell r="D142">
            <v>0</v>
          </cell>
          <cell r="E142">
            <v>0</v>
          </cell>
          <cell r="F142">
            <v>0</v>
          </cell>
          <cell r="G142">
            <v>418.26833333333303</v>
          </cell>
          <cell r="H142">
            <v>569.077</v>
          </cell>
          <cell r="I142">
            <v>277.13100000000003</v>
          </cell>
          <cell r="J142">
            <v>0</v>
          </cell>
          <cell r="O142">
            <v>2038.9470000000001</v>
          </cell>
        </row>
        <row r="143">
          <cell r="A143">
            <v>36830</v>
          </cell>
          <cell r="B143">
            <v>2982.1758064516102</v>
          </cell>
          <cell r="C143">
            <v>1266.42903225806</v>
          </cell>
          <cell r="D143">
            <v>0</v>
          </cell>
          <cell r="E143">
            <v>0</v>
          </cell>
          <cell r="F143">
            <v>0</v>
          </cell>
          <cell r="G143">
            <v>3048.0158064516104</v>
          </cell>
          <cell r="H143">
            <v>3037.4448387096804</v>
          </cell>
          <cell r="I143">
            <v>1663.6529032258102</v>
          </cell>
          <cell r="J143">
            <v>0</v>
          </cell>
          <cell r="O143">
            <v>11997.718387096771</v>
          </cell>
        </row>
        <row r="144">
          <cell r="A144">
            <v>36860</v>
          </cell>
          <cell r="B144">
            <v>7463.8476666666693</v>
          </cell>
          <cell r="C144">
            <v>2729</v>
          </cell>
          <cell r="D144">
            <v>0</v>
          </cell>
          <cell r="E144">
            <v>0</v>
          </cell>
          <cell r="F144">
            <v>0</v>
          </cell>
          <cell r="G144">
            <v>7256.8186666666697</v>
          </cell>
          <cell r="H144">
            <v>6700.7656666666699</v>
          </cell>
          <cell r="I144">
            <v>3577.8246666666705</v>
          </cell>
          <cell r="J144">
            <v>0</v>
          </cell>
          <cell r="O144">
            <v>27728.256666666679</v>
          </cell>
        </row>
        <row r="145">
          <cell r="A145">
            <v>36891</v>
          </cell>
          <cell r="B145">
            <v>8285.8696774193504</v>
          </cell>
          <cell r="C145">
            <v>3184.4012903225803</v>
          </cell>
          <cell r="D145">
            <v>0</v>
          </cell>
          <cell r="E145">
            <v>0</v>
          </cell>
          <cell r="F145">
            <v>0</v>
          </cell>
          <cell r="G145">
            <v>8121.488709677421</v>
          </cell>
          <cell r="H145">
            <v>7275.0283870967705</v>
          </cell>
          <cell r="I145">
            <v>936.67645161290307</v>
          </cell>
          <cell r="J145">
            <v>0</v>
          </cell>
          <cell r="K145">
            <v>1340.07064516129</v>
          </cell>
          <cell r="O145">
            <v>29143.535161290314</v>
          </cell>
        </row>
        <row r="146">
          <cell r="A146">
            <v>36922</v>
          </cell>
          <cell r="B146">
            <v>8090.8858064516098</v>
          </cell>
          <cell r="C146">
            <v>3074.5690322580599</v>
          </cell>
          <cell r="D146">
            <v>0</v>
          </cell>
          <cell r="E146">
            <v>0</v>
          </cell>
          <cell r="F146">
            <v>0</v>
          </cell>
          <cell r="G146">
            <v>8453.7490322580597</v>
          </cell>
          <cell r="H146">
            <v>7582.6161290322598</v>
          </cell>
          <cell r="I146">
            <v>0</v>
          </cell>
          <cell r="J146">
            <v>0</v>
          </cell>
          <cell r="K146">
            <v>6040.1680645161305</v>
          </cell>
          <cell r="O146">
            <v>33241.988064516117</v>
          </cell>
        </row>
        <row r="147">
          <cell r="A147">
            <v>36950</v>
          </cell>
          <cell r="B147">
            <v>6800.3635714285701</v>
          </cell>
          <cell r="C147">
            <v>2584.3775000000001</v>
          </cell>
          <cell r="D147">
            <v>1724.1157142857101</v>
          </cell>
          <cell r="E147">
            <v>0</v>
          </cell>
          <cell r="F147">
            <v>0</v>
          </cell>
          <cell r="G147">
            <v>7060.4471428571405</v>
          </cell>
          <cell r="H147">
            <v>6232.9867857142899</v>
          </cell>
          <cell r="I147">
            <v>0</v>
          </cell>
          <cell r="J147">
            <v>20.406071428571398</v>
          </cell>
          <cell r="K147">
            <v>6403.2157142857113</v>
          </cell>
          <cell r="O147">
            <v>30825.912499999991</v>
          </cell>
        </row>
        <row r="148">
          <cell r="A148">
            <v>36981</v>
          </cell>
          <cell r="B148">
            <v>6491.3848387096805</v>
          </cell>
          <cell r="C148">
            <v>2444.1067741935499</v>
          </cell>
          <cell r="D148">
            <v>4263.3125806451599</v>
          </cell>
          <cell r="E148">
            <v>0</v>
          </cell>
          <cell r="F148">
            <v>0</v>
          </cell>
          <cell r="G148">
            <v>5895.5225806451599</v>
          </cell>
          <cell r="H148">
            <v>6653.0774193548395</v>
          </cell>
          <cell r="I148">
            <v>0</v>
          </cell>
          <cell r="J148">
            <v>378.43548387096803</v>
          </cell>
          <cell r="K148">
            <v>7324.6690322580607</v>
          </cell>
          <cell r="O148">
            <v>33450.508709677415</v>
          </cell>
        </row>
        <row r="149">
          <cell r="A149">
            <v>37011</v>
          </cell>
          <cell r="B149">
            <v>7228.2103333333307</v>
          </cell>
          <cell r="C149">
            <v>3119.7650000000003</v>
          </cell>
          <cell r="D149">
            <v>0</v>
          </cell>
          <cell r="E149">
            <v>0</v>
          </cell>
          <cell r="F149">
            <v>0</v>
          </cell>
          <cell r="G149">
            <v>7226.9106666666694</v>
          </cell>
          <cell r="H149">
            <v>6874.2449999999999</v>
          </cell>
          <cell r="I149">
            <v>0</v>
          </cell>
          <cell r="J149">
            <v>1383.3536666666703</v>
          </cell>
          <cell r="K149">
            <v>7982.13666666667</v>
          </cell>
          <cell r="O149">
            <v>33814.621333333344</v>
          </cell>
        </row>
        <row r="150">
          <cell r="A150">
            <v>37042</v>
          </cell>
          <cell r="B150">
            <v>1465.7793548387101</v>
          </cell>
          <cell r="C150">
            <v>3417.7003225806498</v>
          </cell>
          <cell r="D150">
            <v>1118.0096774193501</v>
          </cell>
          <cell r="E150">
            <v>0</v>
          </cell>
          <cell r="F150">
            <v>0</v>
          </cell>
          <cell r="G150">
            <v>7933.6870967741906</v>
          </cell>
          <cell r="H150">
            <v>7115.2041935483894</v>
          </cell>
          <cell r="I150">
            <v>0</v>
          </cell>
          <cell r="J150">
            <v>3063.1477419354796</v>
          </cell>
          <cell r="K150">
            <v>8681.2006451612906</v>
          </cell>
          <cell r="O150">
            <v>32794.729032258059</v>
          </cell>
        </row>
        <row r="151">
          <cell r="A151">
            <v>37072</v>
          </cell>
          <cell r="B151">
            <v>0</v>
          </cell>
          <cell r="C151">
            <v>2653.4133333333298</v>
          </cell>
          <cell r="D151">
            <v>5973.9803333333302</v>
          </cell>
          <cell r="E151">
            <v>0</v>
          </cell>
          <cell r="F151">
            <v>0</v>
          </cell>
          <cell r="G151">
            <v>7419.0496666666695</v>
          </cell>
          <cell r="H151">
            <v>6840.259</v>
          </cell>
          <cell r="I151">
            <v>0</v>
          </cell>
          <cell r="J151">
            <v>3339.3130000000001</v>
          </cell>
          <cell r="K151">
            <v>8526.8276666666698</v>
          </cell>
          <cell r="O151">
            <v>34752.843000000001</v>
          </cell>
        </row>
        <row r="152">
          <cell r="A152">
            <v>37103</v>
          </cell>
          <cell r="B152">
            <v>0</v>
          </cell>
          <cell r="C152">
            <v>3028.8035483870999</v>
          </cell>
          <cell r="D152">
            <v>7596.72580645161</v>
          </cell>
          <cell r="E152">
            <v>0</v>
          </cell>
          <cell r="F152">
            <v>0</v>
          </cell>
          <cell r="G152">
            <v>8071.2432258064509</v>
          </cell>
          <cell r="H152">
            <v>8056.9651612903208</v>
          </cell>
          <cell r="I152">
            <v>0</v>
          </cell>
          <cell r="J152">
            <v>5269.1203225806503</v>
          </cell>
          <cell r="K152">
            <v>9915.4035483870994</v>
          </cell>
          <cell r="O152">
            <v>41938.261612903232</v>
          </cell>
        </row>
        <row r="153">
          <cell r="A153">
            <v>37134</v>
          </cell>
          <cell r="B153">
            <v>0</v>
          </cell>
          <cell r="C153">
            <v>3381.13032258065</v>
          </cell>
          <cell r="D153">
            <v>7906.4480645161302</v>
          </cell>
          <cell r="E153">
            <v>0</v>
          </cell>
          <cell r="F153">
            <v>0</v>
          </cell>
          <cell r="G153">
            <v>8787.8412903225799</v>
          </cell>
          <cell r="H153">
            <v>8333.3354838709711</v>
          </cell>
          <cell r="I153">
            <v>0</v>
          </cell>
          <cell r="J153">
            <v>6448.2712903225802</v>
          </cell>
          <cell r="K153">
            <v>9992.9690322580609</v>
          </cell>
          <cell r="O153">
            <v>44849.995483870967</v>
          </cell>
        </row>
        <row r="154">
          <cell r="A154">
            <v>37164</v>
          </cell>
          <cell r="B154">
            <v>0</v>
          </cell>
          <cell r="C154">
            <v>1786.8786666666701</v>
          </cell>
          <cell r="D154">
            <v>8207.2133333333313</v>
          </cell>
          <cell r="E154">
            <v>0</v>
          </cell>
          <cell r="F154">
            <v>0</v>
          </cell>
          <cell r="G154">
            <v>8642.3130000000001</v>
          </cell>
          <cell r="H154">
            <v>8931.5833333333303</v>
          </cell>
          <cell r="I154">
            <v>0</v>
          </cell>
          <cell r="J154">
            <v>6725.2310000000007</v>
          </cell>
          <cell r="K154">
            <v>9868.9350000000013</v>
          </cell>
          <cell r="O154">
            <v>44162.154333333325</v>
          </cell>
        </row>
        <row r="155">
          <cell r="A155">
            <v>37195</v>
          </cell>
          <cell r="B155">
            <v>0</v>
          </cell>
          <cell r="C155">
            <v>2908.8019354838698</v>
          </cell>
          <cell r="D155">
            <v>5790.56</v>
          </cell>
          <cell r="E155">
            <v>0</v>
          </cell>
          <cell r="F155">
            <v>0.85</v>
          </cell>
          <cell r="G155">
            <v>5114.9367741935503</v>
          </cell>
          <cell r="H155">
            <v>7180.2325806451599</v>
          </cell>
          <cell r="I155">
            <v>2107.0864516129</v>
          </cell>
          <cell r="J155">
            <v>6016.6561290322597</v>
          </cell>
          <cell r="K155">
            <v>8071.4196774193506</v>
          </cell>
          <cell r="L155">
            <v>3.7880645161290301</v>
          </cell>
          <cell r="O155">
            <v>37194.331612903217</v>
          </cell>
        </row>
        <row r="156">
          <cell r="A156">
            <v>37225</v>
          </cell>
          <cell r="B156">
            <v>0</v>
          </cell>
          <cell r="C156">
            <v>3486.8149045702912</v>
          </cell>
          <cell r="D156">
            <v>2345.8248049020717</v>
          </cell>
          <cell r="E156">
            <v>0</v>
          </cell>
          <cell r="F156">
            <v>16.712814001522027</v>
          </cell>
          <cell r="G156">
            <v>5564.901541749422</v>
          </cell>
          <cell r="H156">
            <v>8453.5272169617656</v>
          </cell>
          <cell r="I156">
            <v>3468.284737827727</v>
          </cell>
          <cell r="J156">
            <v>7417.6458855529545</v>
          </cell>
          <cell r="K156">
            <v>9617.1719083144217</v>
          </cell>
          <cell r="L156">
            <v>153.72369487954603</v>
          </cell>
          <cell r="O156">
            <v>40524.60750875972</v>
          </cell>
        </row>
        <row r="157">
          <cell r="A157">
            <v>37256</v>
          </cell>
          <cell r="B157">
            <v>0</v>
          </cell>
          <cell r="C157">
            <v>3579.52079029879</v>
          </cell>
          <cell r="D157">
            <v>6095.9063422220615</v>
          </cell>
          <cell r="E157">
            <v>0</v>
          </cell>
          <cell r="F157">
            <v>257.87992290219859</v>
          </cell>
          <cell r="G157">
            <v>6597.2824931824425</v>
          </cell>
          <cell r="H157">
            <v>6199.4579465412553</v>
          </cell>
          <cell r="I157">
            <v>30.464964831356653</v>
          </cell>
          <cell r="J157">
            <v>7561.6448562198511</v>
          </cell>
          <cell r="K157">
            <v>10181.003857205786</v>
          </cell>
          <cell r="L157">
            <v>869.71498063546392</v>
          </cell>
          <cell r="O157">
            <v>41372.876154039208</v>
          </cell>
        </row>
        <row r="158">
          <cell r="A158">
            <v>37287</v>
          </cell>
          <cell r="B158">
            <v>0</v>
          </cell>
          <cell r="C158">
            <v>3164.3990210240013</v>
          </cell>
          <cell r="D158">
            <v>6834.6234339071489</v>
          </cell>
          <cell r="E158">
            <v>0</v>
          </cell>
          <cell r="F158">
            <v>1398.7588232727619</v>
          </cell>
          <cell r="G158">
            <v>6638.074713967465</v>
          </cell>
          <cell r="H158">
            <v>7420.2273720201074</v>
          </cell>
          <cell r="I158">
            <v>113.22132124978624</v>
          </cell>
          <cell r="J158">
            <v>7505.0715102568256</v>
          </cell>
          <cell r="K158">
            <v>6733.4811535974741</v>
          </cell>
          <cell r="L158">
            <v>3084.8680930262158</v>
          </cell>
          <cell r="O158">
            <v>42892.725442321782</v>
          </cell>
        </row>
        <row r="159">
          <cell r="A159">
            <v>37315</v>
          </cell>
          <cell r="B159">
            <v>0</v>
          </cell>
          <cell r="C159">
            <v>3572.4662173889255</v>
          </cell>
          <cell r="D159">
            <v>6033.7421935568291</v>
          </cell>
          <cell r="E159">
            <v>0</v>
          </cell>
          <cell r="F159">
            <v>1615.0316005883963</v>
          </cell>
          <cell r="G159">
            <v>5896.1014600630715</v>
          </cell>
          <cell r="H159">
            <v>6917.1705316443922</v>
          </cell>
          <cell r="I159">
            <v>525.78501159013604</v>
          </cell>
          <cell r="J159">
            <v>6645.6903794426044</v>
          </cell>
          <cell r="K159">
            <v>7356.1337301914728</v>
          </cell>
          <cell r="L159">
            <v>4602.9175141387886</v>
          </cell>
          <cell r="O159">
            <v>43165.038638604616</v>
          </cell>
        </row>
        <row r="160">
          <cell r="A160">
            <v>37346</v>
          </cell>
          <cell r="B160">
            <v>0</v>
          </cell>
          <cell r="C160">
            <v>3713.8625773567551</v>
          </cell>
          <cell r="D160">
            <v>6843.5832470794276</v>
          </cell>
          <cell r="E160">
            <v>0</v>
          </cell>
          <cell r="F160">
            <v>2328.7599243725167</v>
          </cell>
          <cell r="G160">
            <v>4935.8740092338658</v>
          </cell>
          <cell r="H160">
            <v>6566.5323887557506</v>
          </cell>
          <cell r="I160">
            <v>2.0423278627209571</v>
          </cell>
          <cell r="J160">
            <v>7460.7308590900157</v>
          </cell>
          <cell r="K160">
            <v>7582.1902653294437</v>
          </cell>
          <cell r="L160">
            <v>5663.9917864842255</v>
          </cell>
          <cell r="O160">
            <v>45097.567385564726</v>
          </cell>
        </row>
      </sheetData>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ected Case OPEX Forecast"/>
      <sheetName val="Realistic Profile"/>
      <sheetName val=" Tail End OPEX Forecasts"/>
      <sheetName val="Lifting Costs Graph Realistic"/>
      <sheetName val="Lifting Costs"/>
      <sheetName val="PipelineOpsBudgetLifecycleTailM"/>
      <sheetName val="Expected Case Profile"/>
      <sheetName val="G&amp;A Buildup"/>
      <sheetName val="Maintenance Cost Buildup"/>
      <sheetName val="Well Operations"/>
      <sheetName val="Marine and Logisics"/>
      <sheetName val="Chart1"/>
      <sheetName val="Chart2"/>
      <sheetName val="Pain"/>
      <sheetName val="Ghost 2006 to 2003"/>
      <sheetName val="Graph Data"/>
      <sheetName val="OPEX Bulid-up"/>
      <sheetName val="2003 cost build-up"/>
      <sheetName val="2006 cost build-up"/>
      <sheetName val="2011 cost build-up"/>
      <sheetName val="ChemicalBudgetLifecycleEstimate"/>
      <sheetName val="G&amp;ALifeCycleEstimate"/>
      <sheetName val="Budget 2003"/>
      <sheetName val="PipelineOpsBudgetLifecycle"/>
      <sheetName val="RateProfiles"/>
      <sheetName val="ESP Rental Forecast Opex"/>
      <sheetName val="Maintenance Events"/>
      <sheetName val="Maintenance EventsTailMods"/>
      <sheetName val="WellOperationsLifecycleEstimate"/>
      <sheetName val="Old"/>
      <sheetName val="ESP rental calculation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
          <cell r="A1" t="str">
            <v>Phase</v>
          </cell>
          <cell r="B1" t="str">
            <v>Oil Rate (stb/d)</v>
          </cell>
          <cell r="E1" t="str">
            <v>Gas Rate (mmscf/d)</v>
          </cell>
          <cell r="H1" t="str">
            <v>Water Rate (stb/d)</v>
          </cell>
        </row>
        <row r="2">
          <cell r="B2" t="str">
            <v>Do Nothing</v>
          </cell>
          <cell r="C2" t="str">
            <v>Expected</v>
          </cell>
          <cell r="D2" t="str">
            <v>Low Side</v>
          </cell>
          <cell r="E2" t="str">
            <v>Do Nothing</v>
          </cell>
          <cell r="F2" t="str">
            <v>Expected</v>
          </cell>
          <cell r="G2" t="str">
            <v>Low Side</v>
          </cell>
          <cell r="H2" t="str">
            <v>Do Nothing</v>
          </cell>
          <cell r="I2" t="str">
            <v>Expected</v>
          </cell>
          <cell r="J2" t="str">
            <v>Low Side</v>
          </cell>
        </row>
        <row r="3">
          <cell r="A3" t="str">
            <v>1H 03</v>
          </cell>
          <cell r="B3">
            <v>49938.369752521314</v>
          </cell>
          <cell r="C3">
            <v>52156.563449665315</v>
          </cell>
          <cell r="D3">
            <v>39950.695802017057</v>
          </cell>
          <cell r="E3">
            <v>238.43934426229524</v>
          </cell>
          <cell r="F3">
            <v>238.43333333333314</v>
          </cell>
          <cell r="G3">
            <v>190.75147540983619</v>
          </cell>
          <cell r="H3">
            <v>56700</v>
          </cell>
          <cell r="I3">
            <v>56700</v>
          </cell>
          <cell r="J3">
            <v>56700</v>
          </cell>
        </row>
        <row r="4">
          <cell r="A4" t="str">
            <v>2H 03</v>
          </cell>
          <cell r="B4">
            <v>43808.024819997059</v>
          </cell>
          <cell r="C4">
            <v>52799.662685845658</v>
          </cell>
          <cell r="D4">
            <v>35046.41985599765</v>
          </cell>
          <cell r="E4">
            <v>258.68618784530361</v>
          </cell>
          <cell r="F4">
            <v>258.07237569060766</v>
          </cell>
          <cell r="G4">
            <v>206.9489502762429</v>
          </cell>
          <cell r="H4">
            <v>56700</v>
          </cell>
          <cell r="I4">
            <v>56700</v>
          </cell>
          <cell r="J4">
            <v>56700</v>
          </cell>
        </row>
        <row r="5">
          <cell r="A5" t="str">
            <v>1H 04</v>
          </cell>
          <cell r="B5">
            <v>32766.453868440276</v>
          </cell>
          <cell r="C5">
            <v>43063.65199865969</v>
          </cell>
          <cell r="D5">
            <v>26213.163094752221</v>
          </cell>
          <cell r="E5">
            <v>237.73260869565209</v>
          </cell>
          <cell r="F5">
            <v>237.66521739130454</v>
          </cell>
          <cell r="G5">
            <v>190.18608695652168</v>
          </cell>
          <cell r="H5">
            <v>58500</v>
          </cell>
          <cell r="I5">
            <v>58500</v>
          </cell>
          <cell r="J5">
            <v>58500</v>
          </cell>
        </row>
        <row r="6">
          <cell r="A6" t="str">
            <v>2H 04</v>
          </cell>
          <cell r="B6">
            <v>27846.723123098709</v>
          </cell>
          <cell r="C6">
            <v>40962.820011082113</v>
          </cell>
          <cell r="D6">
            <v>22277.378498478967</v>
          </cell>
          <cell r="E6">
            <v>213.50659340659348</v>
          </cell>
          <cell r="F6">
            <v>212.86318681318659</v>
          </cell>
          <cell r="G6">
            <v>170.80527472527478</v>
          </cell>
          <cell r="H6">
            <v>58500</v>
          </cell>
          <cell r="I6">
            <v>58500</v>
          </cell>
          <cell r="J6">
            <v>58500</v>
          </cell>
        </row>
        <row r="7">
          <cell r="A7" t="str">
            <v>1H 05</v>
          </cell>
          <cell r="B7">
            <v>24435.248727173752</v>
          </cell>
          <cell r="C7">
            <v>36754.911093083443</v>
          </cell>
          <cell r="D7">
            <v>19548.198981739002</v>
          </cell>
          <cell r="E7">
            <v>159.50597826086906</v>
          </cell>
          <cell r="F7">
            <v>169.31847826086997</v>
          </cell>
          <cell r="G7">
            <v>127.60478260869525</v>
          </cell>
          <cell r="H7">
            <v>58500</v>
          </cell>
          <cell r="I7">
            <v>58500</v>
          </cell>
          <cell r="J7">
            <v>58500</v>
          </cell>
        </row>
        <row r="8">
          <cell r="A8" t="str">
            <v>2H 05</v>
          </cell>
          <cell r="B8">
            <v>20950.224742066912</v>
          </cell>
          <cell r="C8">
            <v>34054.046428178299</v>
          </cell>
          <cell r="D8">
            <v>16760.179793653529</v>
          </cell>
          <cell r="E8">
            <v>182.57513812154772</v>
          </cell>
          <cell r="F8">
            <v>213.2464088397787</v>
          </cell>
          <cell r="G8">
            <v>146.06011049723818</v>
          </cell>
          <cell r="H8">
            <v>58500</v>
          </cell>
          <cell r="I8">
            <v>58500</v>
          </cell>
          <cell r="J8">
            <v>58500</v>
          </cell>
        </row>
        <row r="9">
          <cell r="A9" t="str">
            <v>1H 06</v>
          </cell>
          <cell r="B9">
            <v>15709.702692268485</v>
          </cell>
          <cell r="C9">
            <v>26472.321549906505</v>
          </cell>
          <cell r="D9">
            <v>12567.762153814789</v>
          </cell>
          <cell r="E9">
            <v>128.05380434782569</v>
          </cell>
          <cell r="F9">
            <v>170.30760869565202</v>
          </cell>
          <cell r="G9">
            <v>102.44304347826056</v>
          </cell>
          <cell r="H9">
            <v>58500</v>
          </cell>
          <cell r="I9">
            <v>58500</v>
          </cell>
          <cell r="J9">
            <v>58500</v>
          </cell>
        </row>
        <row r="10">
          <cell r="A10" t="str">
            <v>2H 06</v>
          </cell>
          <cell r="B10">
            <v>11805.053581050599</v>
          </cell>
          <cell r="C10">
            <v>21748.951119928159</v>
          </cell>
          <cell r="D10">
            <v>9444.0428648404795</v>
          </cell>
          <cell r="E10">
            <v>168.80165745856402</v>
          </cell>
          <cell r="F10">
            <v>227.58895027624342</v>
          </cell>
          <cell r="G10">
            <v>135.04132596685122</v>
          </cell>
          <cell r="H10">
            <v>58500</v>
          </cell>
          <cell r="I10">
            <v>58500</v>
          </cell>
          <cell r="J10">
            <v>58500</v>
          </cell>
        </row>
        <row r="11">
          <cell r="A11" t="str">
            <v>1H 07</v>
          </cell>
          <cell r="B11">
            <v>11228.800933485933</v>
          </cell>
          <cell r="C11">
            <v>12286.258936981352</v>
          </cell>
          <cell r="D11">
            <v>8983.0407467887471</v>
          </cell>
          <cell r="E11">
            <v>130.39619565217308</v>
          </cell>
          <cell r="F11">
            <v>190.40543478260847</v>
          </cell>
          <cell r="G11">
            <v>104.31695652173846</v>
          </cell>
          <cell r="H11">
            <v>58500</v>
          </cell>
          <cell r="I11">
            <v>58500</v>
          </cell>
          <cell r="J11">
            <v>58500</v>
          </cell>
        </row>
        <row r="12">
          <cell r="A12" t="str">
            <v>2H 07</v>
          </cell>
          <cell r="B12">
            <v>10624.92013838628</v>
          </cell>
          <cell r="C12">
            <v>12375.624430615735</v>
          </cell>
          <cell r="D12">
            <v>8499.9361107090244</v>
          </cell>
          <cell r="E12">
            <v>127.41767955801153</v>
          </cell>
          <cell r="F12">
            <v>226.50994475138106</v>
          </cell>
          <cell r="G12">
            <v>101.93414364640923</v>
          </cell>
          <cell r="H12">
            <v>58500</v>
          </cell>
          <cell r="I12">
            <v>58500</v>
          </cell>
          <cell r="J12">
            <v>58500</v>
          </cell>
        </row>
        <row r="13">
          <cell r="A13" t="str">
            <v>1H 08</v>
          </cell>
          <cell r="B13">
            <v>9308.0248576210197</v>
          </cell>
          <cell r="C13">
            <v>9071.5305195964411</v>
          </cell>
          <cell r="D13">
            <v>7446.4198860968163</v>
          </cell>
          <cell r="E13">
            <v>111.64021739130418</v>
          </cell>
          <cell r="F13">
            <v>189.20706521739157</v>
          </cell>
          <cell r="G13">
            <v>89.312173913043353</v>
          </cell>
          <cell r="H13">
            <v>58500</v>
          </cell>
          <cell r="I13">
            <v>58500</v>
          </cell>
          <cell r="J13">
            <v>58500</v>
          </cell>
        </row>
        <row r="14">
          <cell r="A14" t="str">
            <v>2H 08</v>
          </cell>
          <cell r="B14">
            <v>9370.0251681801401</v>
          </cell>
          <cell r="C14">
            <v>11235.15500597961</v>
          </cell>
          <cell r="D14">
            <v>7496.0201345441128</v>
          </cell>
          <cell r="E14">
            <v>116.54560439560467</v>
          </cell>
          <cell r="F14">
            <v>226.25329670329654</v>
          </cell>
          <cell r="G14">
            <v>93.236483516483744</v>
          </cell>
          <cell r="H14">
            <v>58500</v>
          </cell>
          <cell r="I14">
            <v>58500</v>
          </cell>
          <cell r="J14">
            <v>58500</v>
          </cell>
        </row>
        <row r="15">
          <cell r="A15" t="str">
            <v>1H 09</v>
          </cell>
          <cell r="B15">
            <v>8185.1379579204768</v>
          </cell>
          <cell r="C15">
            <v>10105.695451298998</v>
          </cell>
          <cell r="D15">
            <v>6548.110366336382</v>
          </cell>
          <cell r="E15">
            <v>96.378260869565338</v>
          </cell>
          <cell r="F15">
            <v>185.00543478260897</v>
          </cell>
          <cell r="G15">
            <v>77.102608695652279</v>
          </cell>
          <cell r="H15">
            <v>58500</v>
          </cell>
          <cell r="I15">
            <v>58500</v>
          </cell>
          <cell r="J15">
            <v>58500</v>
          </cell>
        </row>
        <row r="16">
          <cell r="A16" t="str">
            <v>2H 09</v>
          </cell>
          <cell r="B16">
            <v>8184.1972901328218</v>
          </cell>
          <cell r="C16">
            <v>8131.6870318899091</v>
          </cell>
          <cell r="D16">
            <v>6547.3578321062578</v>
          </cell>
          <cell r="E16">
            <v>96.143093922651687</v>
          </cell>
          <cell r="F16">
            <v>199.44254143646421</v>
          </cell>
          <cell r="G16">
            <v>76.914475138121361</v>
          </cell>
          <cell r="H16">
            <v>58500</v>
          </cell>
          <cell r="I16">
            <v>58500</v>
          </cell>
          <cell r="J16">
            <v>58500</v>
          </cell>
        </row>
        <row r="17">
          <cell r="A17" t="str">
            <v>1H 10</v>
          </cell>
          <cell r="B17">
            <v>6743.4029074785058</v>
          </cell>
          <cell r="C17">
            <v>6629.8812010832344</v>
          </cell>
          <cell r="D17">
            <v>5394.7223259828052</v>
          </cell>
          <cell r="E17">
            <v>82.498913043478254</v>
          </cell>
          <cell r="F17">
            <v>141.71739130434733</v>
          </cell>
          <cell r="G17">
            <v>65.9991304347826</v>
          </cell>
          <cell r="H17">
            <v>58500</v>
          </cell>
          <cell r="I17">
            <v>58500</v>
          </cell>
          <cell r="J17">
            <v>58500</v>
          </cell>
        </row>
        <row r="18">
          <cell r="A18" t="str">
            <v>2H 10</v>
          </cell>
          <cell r="B18">
            <v>6728.7641613819405</v>
          </cell>
          <cell r="C18">
            <v>6672.4480999542429</v>
          </cell>
          <cell r="D18">
            <v>5383.0113291055532</v>
          </cell>
          <cell r="E18">
            <v>78.83922651933706</v>
          </cell>
          <cell r="F18">
            <v>152.35911602209944</v>
          </cell>
          <cell r="G18">
            <v>63.07138121546965</v>
          </cell>
          <cell r="H18">
            <v>58500</v>
          </cell>
          <cell r="I18">
            <v>58500</v>
          </cell>
          <cell r="J18">
            <v>58500</v>
          </cell>
        </row>
        <row r="19">
          <cell r="A19" t="str">
            <v>1H 11</v>
          </cell>
          <cell r="B19">
            <v>5631.5539088771211</v>
          </cell>
          <cell r="C19">
            <v>5680.8697586524922</v>
          </cell>
          <cell r="D19">
            <v>4505.2431271016967</v>
          </cell>
          <cell r="E19">
            <v>67.576086956521578</v>
          </cell>
          <cell r="F19">
            <v>116.48369565217386</v>
          </cell>
          <cell r="G19">
            <v>54.060869565217267</v>
          </cell>
          <cell r="H19">
            <v>58500</v>
          </cell>
          <cell r="I19">
            <v>58500</v>
          </cell>
          <cell r="J19">
            <v>58500</v>
          </cell>
        </row>
        <row r="20">
          <cell r="A20" t="str">
            <v>2H 11</v>
          </cell>
          <cell r="B20">
            <v>5592.9548216804487</v>
          </cell>
          <cell r="C20">
            <v>5699.5427108504819</v>
          </cell>
          <cell r="D20">
            <v>4474.3638573443595</v>
          </cell>
          <cell r="E20">
            <v>56.76519337016569</v>
          </cell>
          <cell r="F20">
            <v>121.1381215469622</v>
          </cell>
          <cell r="G20">
            <v>45.412154696132554</v>
          </cell>
          <cell r="H20">
            <v>58500</v>
          </cell>
          <cell r="I20">
            <v>58500</v>
          </cell>
          <cell r="J20">
            <v>58500</v>
          </cell>
        </row>
        <row r="21">
          <cell r="A21" t="str">
            <v>1H 12</v>
          </cell>
          <cell r="B21">
            <v>5410.3870294318667</v>
          </cell>
          <cell r="C21">
            <v>5222.2718581673571</v>
          </cell>
          <cell r="D21">
            <v>4328.3096235454932</v>
          </cell>
          <cell r="E21">
            <v>45.425000000000672</v>
          </cell>
          <cell r="F21">
            <v>90.054347826086612</v>
          </cell>
          <cell r="G21">
            <v>36.340000000000536</v>
          </cell>
          <cell r="H21">
            <v>58500</v>
          </cell>
          <cell r="I21">
            <v>58500</v>
          </cell>
          <cell r="J21">
            <v>58500</v>
          </cell>
        </row>
        <row r="22">
          <cell r="A22" t="str">
            <v>2H 12</v>
          </cell>
          <cell r="B22">
            <v>5567.932633827465</v>
          </cell>
          <cell r="C22">
            <v>5244.8281171258031</v>
          </cell>
          <cell r="D22">
            <v>4454.3461070619724</v>
          </cell>
          <cell r="E22">
            <v>35.913736263735544</v>
          </cell>
          <cell r="F22">
            <v>83.373626373626252</v>
          </cell>
          <cell r="G22">
            <v>28.730989010988438</v>
          </cell>
          <cell r="H22">
            <v>58500</v>
          </cell>
          <cell r="I22">
            <v>58500</v>
          </cell>
          <cell r="J22">
            <v>58500</v>
          </cell>
        </row>
        <row r="23">
          <cell r="A23" t="str">
            <v>1H 13</v>
          </cell>
          <cell r="B23">
            <v>5224.4807323750774</v>
          </cell>
          <cell r="C23">
            <v>5217.651898640087</v>
          </cell>
          <cell r="D23">
            <v>4179.5845859000619</v>
          </cell>
          <cell r="E23">
            <v>22.207065217391239</v>
          </cell>
          <cell r="F23">
            <v>62.559782608695478</v>
          </cell>
          <cell r="G23">
            <v>17.765652173912994</v>
          </cell>
          <cell r="H23">
            <v>58500</v>
          </cell>
          <cell r="I23">
            <v>58500</v>
          </cell>
          <cell r="J23">
            <v>58500</v>
          </cell>
        </row>
        <row r="24">
          <cell r="A24" t="str">
            <v>2H 13</v>
          </cell>
          <cell r="B24">
            <v>5085.4290749165611</v>
          </cell>
          <cell r="C24">
            <v>4990.5015863651761</v>
          </cell>
          <cell r="D24">
            <v>4068.3432599332491</v>
          </cell>
          <cell r="E24">
            <v>14.074585635359192</v>
          </cell>
          <cell r="F24">
            <v>40.02762430939292</v>
          </cell>
          <cell r="G24">
            <v>11.259668508287355</v>
          </cell>
          <cell r="H24">
            <v>58500</v>
          </cell>
          <cell r="I24">
            <v>58500</v>
          </cell>
          <cell r="J24">
            <v>58500</v>
          </cell>
        </row>
        <row r="25">
          <cell r="A25" t="str">
            <v>1H 14</v>
          </cell>
          <cell r="B25">
            <v>4899.1218157039129</v>
          </cell>
          <cell r="C25">
            <v>4658.2804443977548</v>
          </cell>
          <cell r="D25">
            <v>3919.2974525631307</v>
          </cell>
          <cell r="E25">
            <v>7.4195652173916988</v>
          </cell>
          <cell r="F25">
            <v>24.847826086955919</v>
          </cell>
          <cell r="G25">
            <v>5.9356521739133594</v>
          </cell>
          <cell r="H25">
            <v>58500</v>
          </cell>
          <cell r="I25">
            <v>58500</v>
          </cell>
          <cell r="J25">
            <v>58500</v>
          </cell>
        </row>
        <row r="26">
          <cell r="A26" t="str">
            <v>2H 14</v>
          </cell>
          <cell r="B26">
            <v>4877.1142730663896</v>
          </cell>
          <cell r="C26">
            <v>4614.8228417073888</v>
          </cell>
          <cell r="D26">
            <v>3901.691418453112</v>
          </cell>
          <cell r="E26">
            <v>1.9176795580107997</v>
          </cell>
          <cell r="F26">
            <v>13.98342541436436</v>
          </cell>
          <cell r="G26">
            <v>1.5341436464086398</v>
          </cell>
          <cell r="H26">
            <v>58500</v>
          </cell>
          <cell r="I26">
            <v>58500</v>
          </cell>
          <cell r="J26">
            <v>58500</v>
          </cell>
        </row>
        <row r="27">
          <cell r="A27" t="str">
            <v>1H 15</v>
          </cell>
          <cell r="B27">
            <v>4721.8310940275469</v>
          </cell>
          <cell r="C27">
            <v>4435.9364715236206</v>
          </cell>
          <cell r="D27">
            <v>3777.4648752220378</v>
          </cell>
          <cell r="E27">
            <v>0</v>
          </cell>
          <cell r="F27">
            <v>3.7282608695660278</v>
          </cell>
          <cell r="G27">
            <v>0</v>
          </cell>
          <cell r="H27">
            <v>58500</v>
          </cell>
          <cell r="I27">
            <v>58500</v>
          </cell>
          <cell r="J27">
            <v>58500</v>
          </cell>
        </row>
        <row r="28">
          <cell r="A28" t="str">
            <v>2H 15</v>
          </cell>
          <cell r="B28">
            <v>4721.8310940275469</v>
          </cell>
          <cell r="C28">
            <v>4421.0234280453569</v>
          </cell>
          <cell r="D28">
            <v>3777.4648752220378</v>
          </cell>
          <cell r="E28">
            <v>0</v>
          </cell>
          <cell r="F28">
            <v>0</v>
          </cell>
          <cell r="G28">
            <v>0</v>
          </cell>
          <cell r="H28">
            <v>58500</v>
          </cell>
          <cell r="I28">
            <v>58500</v>
          </cell>
          <cell r="J28">
            <v>58500</v>
          </cell>
        </row>
        <row r="29">
          <cell r="A29" t="str">
            <v>1H 16</v>
          </cell>
          <cell r="B29">
            <v>4580.824527867012</v>
          </cell>
          <cell r="C29">
            <v>4287.3269234864192</v>
          </cell>
          <cell r="D29">
            <v>3664.6596222936096</v>
          </cell>
          <cell r="E29">
            <v>0</v>
          </cell>
          <cell r="F29">
            <v>0</v>
          </cell>
          <cell r="G29">
            <v>0</v>
          </cell>
          <cell r="H29">
            <v>58500</v>
          </cell>
          <cell r="I29">
            <v>58500</v>
          </cell>
          <cell r="J29">
            <v>58500</v>
          </cell>
        </row>
        <row r="30">
          <cell r="A30" t="str">
            <v>2H 16</v>
          </cell>
          <cell r="B30">
            <v>4580.824527867012</v>
          </cell>
          <cell r="C30">
            <v>4287.3269234864192</v>
          </cell>
          <cell r="D30">
            <v>3664.6596222936096</v>
          </cell>
          <cell r="E30">
            <v>0</v>
          </cell>
          <cell r="F30">
            <v>0</v>
          </cell>
          <cell r="G30">
            <v>0</v>
          </cell>
          <cell r="H30">
            <v>58500</v>
          </cell>
          <cell r="I30">
            <v>58500</v>
          </cell>
          <cell r="J30">
            <v>58500</v>
          </cell>
        </row>
        <row r="31">
          <cell r="A31" t="str">
            <v>1H 17</v>
          </cell>
          <cell r="B31">
            <v>0</v>
          </cell>
          <cell r="C31">
            <v>0</v>
          </cell>
          <cell r="D31">
            <v>0</v>
          </cell>
          <cell r="E31">
            <v>0</v>
          </cell>
          <cell r="F31">
            <v>0</v>
          </cell>
          <cell r="G31">
            <v>0</v>
          </cell>
          <cell r="H31">
            <v>0</v>
          </cell>
          <cell r="I31">
            <v>0</v>
          </cell>
          <cell r="J31">
            <v>0</v>
          </cell>
        </row>
        <row r="32">
          <cell r="A32" t="str">
            <v>2H 17</v>
          </cell>
          <cell r="B32">
            <v>0</v>
          </cell>
          <cell r="C32">
            <v>0</v>
          </cell>
          <cell r="D32">
            <v>0</v>
          </cell>
          <cell r="E32">
            <v>0</v>
          </cell>
          <cell r="F32">
            <v>0</v>
          </cell>
          <cell r="G32">
            <v>0</v>
          </cell>
          <cell r="H32">
            <v>0</v>
          </cell>
          <cell r="I32">
            <v>0</v>
          </cell>
          <cell r="J32">
            <v>0</v>
          </cell>
        </row>
        <row r="33">
          <cell r="A33" t="str">
            <v>1H 18</v>
          </cell>
          <cell r="B33">
            <v>0</v>
          </cell>
          <cell r="C33">
            <v>0</v>
          </cell>
          <cell r="D33">
            <v>0</v>
          </cell>
          <cell r="E33">
            <v>0</v>
          </cell>
          <cell r="F33">
            <v>0</v>
          </cell>
          <cell r="G33">
            <v>0</v>
          </cell>
          <cell r="H33">
            <v>0</v>
          </cell>
          <cell r="I33">
            <v>0</v>
          </cell>
          <cell r="J33">
            <v>0</v>
          </cell>
        </row>
        <row r="34">
          <cell r="A34" t="str">
            <v>2H 18</v>
          </cell>
          <cell r="B34">
            <v>0</v>
          </cell>
          <cell r="C34">
            <v>0</v>
          </cell>
          <cell r="D34">
            <v>0</v>
          </cell>
          <cell r="E34">
            <v>0</v>
          </cell>
          <cell r="F34">
            <v>0</v>
          </cell>
          <cell r="G34">
            <v>0</v>
          </cell>
          <cell r="H34">
            <v>0</v>
          </cell>
          <cell r="I34">
            <v>0</v>
          </cell>
          <cell r="J34">
            <v>0</v>
          </cell>
        </row>
        <row r="35">
          <cell r="A35" t="str">
            <v>1H 19</v>
          </cell>
          <cell r="B35">
            <v>0</v>
          </cell>
          <cell r="C35">
            <v>0</v>
          </cell>
          <cell r="D35">
            <v>0</v>
          </cell>
          <cell r="E35">
            <v>0</v>
          </cell>
          <cell r="F35">
            <v>0</v>
          </cell>
          <cell r="G35">
            <v>0</v>
          </cell>
          <cell r="H35">
            <v>0</v>
          </cell>
          <cell r="I35">
            <v>0</v>
          </cell>
          <cell r="J35">
            <v>0</v>
          </cell>
        </row>
        <row r="36">
          <cell r="A36" t="str">
            <v>2H 19</v>
          </cell>
          <cell r="B36">
            <v>0</v>
          </cell>
          <cell r="C36">
            <v>0</v>
          </cell>
          <cell r="D36">
            <v>0</v>
          </cell>
          <cell r="E36">
            <v>0</v>
          </cell>
          <cell r="F36">
            <v>0</v>
          </cell>
          <cell r="G36">
            <v>0</v>
          </cell>
          <cell r="H36">
            <v>0</v>
          </cell>
          <cell r="I36">
            <v>0</v>
          </cell>
          <cell r="J36">
            <v>0</v>
          </cell>
        </row>
        <row r="37">
          <cell r="A37" t="str">
            <v>1H 20</v>
          </cell>
          <cell r="B37">
            <v>0</v>
          </cell>
          <cell r="C37">
            <v>0</v>
          </cell>
          <cell r="D37">
            <v>0</v>
          </cell>
          <cell r="E37">
            <v>0</v>
          </cell>
          <cell r="F37">
            <v>0</v>
          </cell>
          <cell r="G37">
            <v>0</v>
          </cell>
          <cell r="H37">
            <v>0</v>
          </cell>
          <cell r="I37">
            <v>0</v>
          </cell>
          <cell r="J37">
            <v>0</v>
          </cell>
        </row>
        <row r="38">
          <cell r="A38" t="str">
            <v>2H 20</v>
          </cell>
          <cell r="B38">
            <v>0</v>
          </cell>
          <cell r="C38">
            <v>0</v>
          </cell>
          <cell r="D38">
            <v>0</v>
          </cell>
          <cell r="E38">
            <v>0</v>
          </cell>
          <cell r="F38">
            <v>0</v>
          </cell>
          <cell r="G38">
            <v>0</v>
          </cell>
          <cell r="H38">
            <v>0</v>
          </cell>
          <cell r="I38">
            <v>0</v>
          </cell>
          <cell r="J38">
            <v>0</v>
          </cell>
        </row>
      </sheetData>
      <sheetData sheetId="25" refreshError="1"/>
      <sheetData sheetId="26" refreshError="1"/>
      <sheetData sheetId="27" refreshError="1"/>
      <sheetData sheetId="28" refreshError="1"/>
      <sheetData sheetId="29" refreshError="1"/>
      <sheetData sheetId="3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2"/>
    <pageSetUpPr fitToPage="1"/>
  </sheetPr>
  <dimension ref="B1:Q41"/>
  <sheetViews>
    <sheetView topLeftCell="A31" zoomScaleNormal="100" workbookViewId="0">
      <selection activeCell="D18" sqref="D18:E18"/>
    </sheetView>
  </sheetViews>
  <sheetFormatPr defaultColWidth="9.109375" defaultRowHeight="13.2" x14ac:dyDescent="0.25"/>
  <cols>
    <col min="1" max="1" width="9.109375" style="10"/>
    <col min="2" max="2" width="23.33203125" style="10" customWidth="1"/>
    <col min="3" max="3" width="24.6640625" style="10" customWidth="1"/>
    <col min="4" max="4" width="22.6640625" style="10" customWidth="1"/>
    <col min="5" max="5" width="22.109375" style="10" customWidth="1"/>
    <col min="6" max="6" width="18.33203125" style="10" customWidth="1"/>
    <col min="7" max="7" width="12.6640625" style="10" customWidth="1"/>
    <col min="8" max="8" width="15" style="10" customWidth="1"/>
    <col min="9" max="9" width="12.6640625" style="10" customWidth="1"/>
    <col min="10" max="10" width="22.44140625" style="10" customWidth="1"/>
    <col min="11" max="12" width="12.6640625" style="10" customWidth="1"/>
    <col min="13" max="13" width="5" style="10" customWidth="1"/>
    <col min="14" max="16384" width="9.109375" style="10"/>
  </cols>
  <sheetData>
    <row r="1" spans="2:17" ht="13.8" thickBot="1" x14ac:dyDescent="0.3"/>
    <row r="2" spans="2:17" ht="35.25" customHeight="1" x14ac:dyDescent="0.25">
      <c r="B2" s="176" t="s">
        <v>19</v>
      </c>
      <c r="C2" s="177"/>
      <c r="D2" s="177"/>
      <c r="E2" s="177"/>
      <c r="F2" s="177"/>
      <c r="G2" s="177"/>
      <c r="H2" s="177"/>
      <c r="I2" s="177"/>
      <c r="J2" s="177"/>
      <c r="K2" s="177"/>
      <c r="L2" s="178"/>
    </row>
    <row r="3" spans="2:17" ht="28.5" customHeight="1" x14ac:dyDescent="0.25">
      <c r="B3" s="179" t="s">
        <v>1</v>
      </c>
      <c r="C3" s="180"/>
      <c r="D3" s="184">
        <v>2017</v>
      </c>
      <c r="E3" s="185"/>
      <c r="F3" s="185"/>
      <c r="G3" s="185"/>
      <c r="H3" s="185"/>
      <c r="I3" s="185"/>
      <c r="J3" s="185"/>
      <c r="K3" s="185"/>
      <c r="L3" s="186"/>
    </row>
    <row r="4" spans="2:17" ht="28.5" customHeight="1" x14ac:dyDescent="0.25">
      <c r="B4" s="179" t="s">
        <v>11</v>
      </c>
      <c r="C4" s="180"/>
      <c r="D4" s="185" t="s">
        <v>137</v>
      </c>
      <c r="E4" s="185"/>
      <c r="F4" s="185"/>
      <c r="G4" s="185"/>
      <c r="H4" s="185"/>
      <c r="I4" s="185"/>
      <c r="J4" s="185"/>
      <c r="K4" s="185"/>
      <c r="L4" s="186"/>
    </row>
    <row r="5" spans="2:17" ht="28.5" customHeight="1" x14ac:dyDescent="0.25">
      <c r="B5" s="179" t="s">
        <v>12</v>
      </c>
      <c r="C5" s="180"/>
      <c r="D5" s="185" t="s">
        <v>125</v>
      </c>
      <c r="E5" s="185"/>
      <c r="F5" s="185"/>
      <c r="G5" s="185"/>
      <c r="H5" s="185"/>
      <c r="I5" s="185"/>
      <c r="J5" s="185"/>
      <c r="K5" s="185"/>
      <c r="L5" s="186"/>
    </row>
    <row r="6" spans="2:17" ht="28.5" customHeight="1" x14ac:dyDescent="0.25">
      <c r="B6" s="179" t="s">
        <v>13</v>
      </c>
      <c r="C6" s="180"/>
      <c r="D6" s="185" t="s">
        <v>138</v>
      </c>
      <c r="E6" s="185"/>
      <c r="F6" s="185"/>
      <c r="G6" s="185"/>
      <c r="H6" s="185"/>
      <c r="I6" s="185"/>
      <c r="J6" s="185"/>
      <c r="K6" s="185"/>
      <c r="L6" s="186"/>
    </row>
    <row r="7" spans="2:17" s="11" customFormat="1" ht="28.5" customHeight="1" x14ac:dyDescent="0.25">
      <c r="B7" s="179" t="s">
        <v>65</v>
      </c>
      <c r="C7" s="180"/>
      <c r="D7" s="187" t="s">
        <v>127</v>
      </c>
      <c r="E7" s="188"/>
      <c r="F7" s="188"/>
      <c r="G7" s="188"/>
      <c r="H7" s="188"/>
      <c r="I7" s="188"/>
      <c r="J7" s="188"/>
      <c r="K7" s="188"/>
      <c r="L7" s="189"/>
    </row>
    <row r="8" spans="2:17" s="11" customFormat="1" ht="39.75" customHeight="1" x14ac:dyDescent="0.25">
      <c r="B8" s="179" t="s">
        <v>62</v>
      </c>
      <c r="C8" s="180"/>
      <c r="D8" s="182" t="s">
        <v>139</v>
      </c>
      <c r="E8" s="182"/>
      <c r="F8" s="182"/>
      <c r="G8" s="182"/>
      <c r="H8" s="182"/>
      <c r="I8" s="182"/>
      <c r="J8" s="182"/>
      <c r="K8" s="182"/>
      <c r="L8" s="183"/>
    </row>
    <row r="9" spans="2:17" s="11" customFormat="1" ht="36.75" customHeight="1" x14ac:dyDescent="0.25">
      <c r="B9" s="179" t="s">
        <v>63</v>
      </c>
      <c r="C9" s="180"/>
      <c r="D9" s="185" t="s">
        <v>140</v>
      </c>
      <c r="E9" s="185"/>
      <c r="F9" s="185"/>
      <c r="G9" s="185"/>
      <c r="H9" s="185"/>
      <c r="I9" s="185"/>
      <c r="J9" s="185"/>
      <c r="K9" s="185"/>
      <c r="L9" s="186"/>
    </row>
    <row r="10" spans="2:17" s="11" customFormat="1" ht="28.5" customHeight="1" x14ac:dyDescent="0.25">
      <c r="B10" s="179" t="s">
        <v>14</v>
      </c>
      <c r="C10" s="181"/>
      <c r="D10" s="185"/>
      <c r="E10" s="185"/>
      <c r="F10" s="185"/>
      <c r="G10" s="185"/>
      <c r="H10" s="185"/>
      <c r="I10" s="185"/>
      <c r="J10" s="185"/>
      <c r="K10" s="185"/>
      <c r="L10" s="186"/>
    </row>
    <row r="11" spans="2:17" s="11" customFormat="1" ht="28.5" customHeight="1" x14ac:dyDescent="0.25">
      <c r="B11" s="41"/>
      <c r="C11" s="26"/>
      <c r="D11" s="27"/>
      <c r="E11" s="27"/>
      <c r="F11" s="45"/>
      <c r="G11" s="40"/>
      <c r="H11" s="40"/>
      <c r="I11" s="40"/>
      <c r="J11" s="40"/>
      <c r="K11" s="40"/>
      <c r="L11" s="40"/>
    </row>
    <row r="12" spans="2:17" s="11" customFormat="1" ht="30" customHeight="1" x14ac:dyDescent="0.25">
      <c r="B12" s="194" t="s">
        <v>33</v>
      </c>
      <c r="C12" s="195"/>
      <c r="D12" s="195"/>
      <c r="E12" s="193"/>
      <c r="F12" s="46"/>
      <c r="G12" s="34"/>
      <c r="H12" s="34"/>
      <c r="I12" s="34"/>
      <c r="J12" s="34"/>
      <c r="K12" s="34"/>
      <c r="L12" s="34"/>
    </row>
    <row r="13" spans="2:17" s="3" customFormat="1" ht="25.5" customHeight="1" x14ac:dyDescent="0.25">
      <c r="B13" s="44" t="s">
        <v>31</v>
      </c>
      <c r="C13" s="43" t="s">
        <v>32</v>
      </c>
      <c r="D13" s="192" t="s">
        <v>0</v>
      </c>
      <c r="E13" s="193"/>
      <c r="F13" s="46"/>
      <c r="Q13" s="3" t="s">
        <v>30</v>
      </c>
    </row>
    <row r="14" spans="2:17" ht="18" customHeight="1" x14ac:dyDescent="0.25">
      <c r="B14" s="138" t="s">
        <v>141</v>
      </c>
      <c r="C14" s="138" t="s">
        <v>142</v>
      </c>
      <c r="D14" s="196" t="s">
        <v>143</v>
      </c>
      <c r="E14" s="191"/>
      <c r="F14" s="47"/>
    </row>
    <row r="15" spans="2:17" ht="18" customHeight="1" x14ac:dyDescent="0.25">
      <c r="B15" s="138" t="s">
        <v>126</v>
      </c>
      <c r="C15" s="138" t="s">
        <v>128</v>
      </c>
      <c r="D15" s="196" t="s">
        <v>129</v>
      </c>
      <c r="E15" s="191"/>
      <c r="F15" s="47"/>
    </row>
    <row r="16" spans="2:17" ht="18" customHeight="1" x14ac:dyDescent="0.25">
      <c r="B16" s="138"/>
      <c r="C16" s="138"/>
      <c r="D16" s="196"/>
      <c r="E16" s="191"/>
      <c r="F16" s="47"/>
    </row>
    <row r="17" spans="2:8" ht="18" customHeight="1" x14ac:dyDescent="0.25">
      <c r="B17" s="29"/>
      <c r="C17" s="42"/>
      <c r="D17" s="190"/>
      <c r="E17" s="191"/>
      <c r="F17" s="47"/>
    </row>
    <row r="18" spans="2:8" ht="18" customHeight="1" x14ac:dyDescent="0.25">
      <c r="B18" s="29"/>
      <c r="C18" s="42"/>
      <c r="D18" s="190"/>
      <c r="E18" s="191"/>
      <c r="F18" s="47"/>
    </row>
    <row r="19" spans="2:8" ht="18" customHeight="1" x14ac:dyDescent="0.25">
      <c r="B19" s="29"/>
      <c r="C19" s="42"/>
      <c r="D19" s="190"/>
      <c r="E19" s="191"/>
      <c r="F19" s="47"/>
    </row>
    <row r="20" spans="2:8" ht="18" customHeight="1" x14ac:dyDescent="0.25">
      <c r="B20" s="29"/>
      <c r="C20" s="42"/>
      <c r="D20" s="190"/>
      <c r="E20" s="191"/>
      <c r="F20" s="47"/>
    </row>
    <row r="21" spans="2:8" ht="18" customHeight="1" x14ac:dyDescent="0.25">
      <c r="B21" s="29"/>
      <c r="C21" s="42"/>
      <c r="D21" s="190"/>
      <c r="E21" s="191"/>
      <c r="F21" s="47"/>
    </row>
    <row r="22" spans="2:8" ht="18" customHeight="1" x14ac:dyDescent="0.25">
      <c r="B22" s="29"/>
      <c r="C22" s="42"/>
      <c r="D22" s="190"/>
      <c r="E22" s="191"/>
      <c r="F22" s="47"/>
    </row>
    <row r="23" spans="2:8" ht="18" customHeight="1" x14ac:dyDescent="0.25">
      <c r="B23" s="29"/>
      <c r="C23" s="42"/>
      <c r="D23" s="190"/>
      <c r="E23" s="191"/>
      <c r="F23" s="47"/>
    </row>
    <row r="26" spans="2:8" ht="22.5" customHeight="1" x14ac:dyDescent="0.25">
      <c r="B26" s="203" t="s">
        <v>39</v>
      </c>
      <c r="C26" s="204"/>
      <c r="D26" s="204"/>
      <c r="E26" s="204"/>
      <c r="F26" s="204"/>
      <c r="G26" s="204"/>
      <c r="H26" s="205"/>
    </row>
    <row r="27" spans="2:8" ht="27" customHeight="1" x14ac:dyDescent="0.25">
      <c r="B27" s="28" t="s">
        <v>40</v>
      </c>
      <c r="C27" s="28" t="s">
        <v>31</v>
      </c>
      <c r="D27" s="28" t="s">
        <v>32</v>
      </c>
      <c r="E27" s="206" t="s">
        <v>41</v>
      </c>
      <c r="F27" s="195"/>
      <c r="G27" s="193"/>
      <c r="H27" s="28" t="s">
        <v>42</v>
      </c>
    </row>
    <row r="28" spans="2:8" ht="20.25" customHeight="1" x14ac:dyDescent="0.25">
      <c r="B28" s="31"/>
      <c r="C28" s="32"/>
      <c r="D28" s="32"/>
      <c r="E28" s="207"/>
      <c r="F28" s="208"/>
      <c r="G28" s="209"/>
      <c r="H28" s="33"/>
    </row>
    <row r="29" spans="2:8" ht="20.25" customHeight="1" x14ac:dyDescent="0.25">
      <c r="B29" s="31"/>
      <c r="C29" s="32"/>
      <c r="D29" s="32"/>
      <c r="E29" s="207"/>
      <c r="F29" s="208"/>
      <c r="G29" s="210"/>
      <c r="H29" s="33"/>
    </row>
    <row r="33" spans="2:8" x14ac:dyDescent="0.25">
      <c r="B33" s="201" t="s">
        <v>34</v>
      </c>
      <c r="C33" s="202"/>
      <c r="D33" s="202"/>
      <c r="E33" s="202"/>
      <c r="F33" s="202"/>
      <c r="G33" s="200"/>
      <c r="H33" s="200"/>
    </row>
    <row r="34" spans="2:8" x14ac:dyDescent="0.25">
      <c r="B34" s="202"/>
      <c r="C34" s="202"/>
      <c r="D34" s="202"/>
      <c r="E34" s="202"/>
      <c r="F34" s="202"/>
      <c r="G34" s="200"/>
      <c r="H34" s="200"/>
    </row>
    <row r="35" spans="2:8" ht="25.5" customHeight="1" x14ac:dyDescent="0.25">
      <c r="B35" s="35" t="s">
        <v>35</v>
      </c>
      <c r="C35" s="35" t="s">
        <v>49</v>
      </c>
      <c r="D35" s="35" t="s">
        <v>36</v>
      </c>
      <c r="E35" s="36" t="s">
        <v>37</v>
      </c>
      <c r="F35" s="199" t="s">
        <v>38</v>
      </c>
      <c r="G35" s="200"/>
      <c r="H35" s="200"/>
    </row>
    <row r="36" spans="2:8" ht="22.5" customHeight="1" x14ac:dyDescent="0.25">
      <c r="B36" s="37"/>
      <c r="C36" s="38"/>
      <c r="D36" s="39"/>
      <c r="E36" s="39"/>
      <c r="F36" s="197"/>
      <c r="G36" s="198"/>
      <c r="H36" s="198"/>
    </row>
    <row r="37" spans="2:8" ht="22.5" customHeight="1" x14ac:dyDescent="0.25">
      <c r="B37" s="37"/>
      <c r="C37" s="38"/>
      <c r="D37" s="39"/>
      <c r="E37" s="39"/>
      <c r="F37" s="197"/>
      <c r="G37" s="198"/>
      <c r="H37" s="198"/>
    </row>
    <row r="38" spans="2:8" ht="22.5" customHeight="1" x14ac:dyDescent="0.25">
      <c r="B38" s="37"/>
      <c r="C38" s="38"/>
      <c r="D38" s="39"/>
      <c r="E38" s="39"/>
      <c r="F38" s="197"/>
      <c r="G38" s="198"/>
      <c r="H38" s="198"/>
    </row>
    <row r="39" spans="2:8" ht="22.5" customHeight="1" x14ac:dyDescent="0.25">
      <c r="B39" s="37"/>
      <c r="C39" s="38"/>
      <c r="D39" s="39"/>
      <c r="E39" s="39"/>
      <c r="F39" s="197"/>
      <c r="G39" s="198"/>
      <c r="H39" s="198"/>
    </row>
    <row r="41" spans="2:8" x14ac:dyDescent="0.25">
      <c r="B41" s="30" t="s">
        <v>30</v>
      </c>
    </row>
  </sheetData>
  <mergeCells count="39">
    <mergeCell ref="F39:H39"/>
    <mergeCell ref="F35:H35"/>
    <mergeCell ref="B33:H34"/>
    <mergeCell ref="B26:H26"/>
    <mergeCell ref="F36:H36"/>
    <mergeCell ref="F37:H37"/>
    <mergeCell ref="F38:H38"/>
    <mergeCell ref="E27:G27"/>
    <mergeCell ref="E28:G28"/>
    <mergeCell ref="E29:G29"/>
    <mergeCell ref="D23:E23"/>
    <mergeCell ref="D18:E18"/>
    <mergeCell ref="D4:L4"/>
    <mergeCell ref="D5:L5"/>
    <mergeCell ref="D6:L6"/>
    <mergeCell ref="D13:E13"/>
    <mergeCell ref="B12:E12"/>
    <mergeCell ref="D21:E21"/>
    <mergeCell ref="D22:E22"/>
    <mergeCell ref="D19:E19"/>
    <mergeCell ref="D20:E20"/>
    <mergeCell ref="D14:E14"/>
    <mergeCell ref="D15:E15"/>
    <mergeCell ref="D16:E16"/>
    <mergeCell ref="D17:E17"/>
    <mergeCell ref="B2:L2"/>
    <mergeCell ref="B8:C8"/>
    <mergeCell ref="B9:C9"/>
    <mergeCell ref="B10:C10"/>
    <mergeCell ref="D8:L8"/>
    <mergeCell ref="B7:C7"/>
    <mergeCell ref="D3:L3"/>
    <mergeCell ref="B4:C4"/>
    <mergeCell ref="B5:C5"/>
    <mergeCell ref="B6:C6"/>
    <mergeCell ref="D7:L7"/>
    <mergeCell ref="B3:C3"/>
    <mergeCell ref="D9:L9"/>
    <mergeCell ref="D10:L10"/>
  </mergeCells>
  <phoneticPr fontId="0" type="noConversion"/>
  <pageMargins left="0.35433070866141736" right="0.27559055118110237" top="1.299212598425197" bottom="0.62992125984251968" header="0.27559055118110237" footer="0.27559055118110237"/>
  <pageSetup paperSize="8" scale="82"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12.0 
Issue Date: 11/02/2014&amp;R&amp;8Page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3"/>
    <pageSetUpPr fitToPage="1"/>
  </sheetPr>
  <dimension ref="A1:D22"/>
  <sheetViews>
    <sheetView workbookViewId="0">
      <selection activeCell="D6" sqref="D6"/>
    </sheetView>
  </sheetViews>
  <sheetFormatPr defaultColWidth="9.109375" defaultRowHeight="13.2" x14ac:dyDescent="0.25"/>
  <cols>
    <col min="1" max="1" width="6" style="12" customWidth="1"/>
    <col min="2" max="2" width="20.88671875" style="12" customWidth="1"/>
    <col min="3" max="3" width="53.88671875" style="12" customWidth="1"/>
    <col min="4" max="4" width="56.44140625" style="12" customWidth="1"/>
    <col min="5" max="16384" width="9.109375" style="12"/>
  </cols>
  <sheetData>
    <row r="1" spans="1:4" ht="27" customHeight="1" x14ac:dyDescent="0.25">
      <c r="A1" s="211" t="s">
        <v>20</v>
      </c>
      <c r="B1" s="212"/>
      <c r="C1" s="212"/>
      <c r="D1" s="213"/>
    </row>
    <row r="2" spans="1:4" ht="21" customHeight="1" x14ac:dyDescent="0.25">
      <c r="A2" s="48" t="s">
        <v>15</v>
      </c>
      <c r="B2" s="48" t="s">
        <v>16</v>
      </c>
      <c r="C2" s="48" t="s">
        <v>17</v>
      </c>
      <c r="D2" s="48" t="s">
        <v>2</v>
      </c>
    </row>
    <row r="3" spans="1:4" ht="21" customHeight="1" x14ac:dyDescent="0.25">
      <c r="A3" s="50">
        <v>1</v>
      </c>
      <c r="B3" s="156" t="s">
        <v>147</v>
      </c>
      <c r="C3" s="49" t="s">
        <v>144</v>
      </c>
      <c r="D3" s="156" t="s">
        <v>146</v>
      </c>
    </row>
    <row r="4" spans="1:4" ht="21" customHeight="1" x14ac:dyDescent="0.25">
      <c r="A4" s="50">
        <f>+A3+1</f>
        <v>2</v>
      </c>
      <c r="B4" s="156" t="s">
        <v>147</v>
      </c>
      <c r="C4" s="49" t="s">
        <v>145</v>
      </c>
      <c r="D4" s="49" t="s">
        <v>146</v>
      </c>
    </row>
    <row r="5" spans="1:4" ht="21" customHeight="1" x14ac:dyDescent="0.25">
      <c r="A5" s="50">
        <f t="shared" ref="A5:A22" si="0">+A4+1</f>
        <v>3</v>
      </c>
      <c r="B5" s="156" t="s">
        <v>149</v>
      </c>
      <c r="C5" s="156" t="s">
        <v>148</v>
      </c>
      <c r="D5" s="156" t="s">
        <v>150</v>
      </c>
    </row>
    <row r="6" spans="1:4" ht="21" customHeight="1" x14ac:dyDescent="0.25">
      <c r="A6" s="50">
        <f t="shared" si="0"/>
        <v>4</v>
      </c>
      <c r="B6" s="49"/>
      <c r="C6" s="49"/>
      <c r="D6" s="49"/>
    </row>
    <row r="7" spans="1:4" ht="21" customHeight="1" x14ac:dyDescent="0.25">
      <c r="A7" s="50">
        <f t="shared" si="0"/>
        <v>5</v>
      </c>
      <c r="B7" s="49"/>
      <c r="C7" s="49"/>
      <c r="D7" s="49"/>
    </row>
    <row r="8" spans="1:4" ht="21" customHeight="1" x14ac:dyDescent="0.25">
      <c r="A8" s="50">
        <f t="shared" si="0"/>
        <v>6</v>
      </c>
      <c r="B8" s="49"/>
      <c r="C8" s="49"/>
      <c r="D8" s="49"/>
    </row>
    <row r="9" spans="1:4" ht="21" customHeight="1" x14ac:dyDescent="0.25">
      <c r="A9" s="50">
        <f t="shared" si="0"/>
        <v>7</v>
      </c>
      <c r="B9" s="49"/>
      <c r="C9" s="49"/>
      <c r="D9" s="49"/>
    </row>
    <row r="10" spans="1:4" ht="21" customHeight="1" x14ac:dyDescent="0.25">
      <c r="A10" s="50">
        <f t="shared" si="0"/>
        <v>8</v>
      </c>
      <c r="B10" s="49"/>
      <c r="C10" s="49"/>
      <c r="D10" s="49"/>
    </row>
    <row r="11" spans="1:4" ht="21" customHeight="1" x14ac:dyDescent="0.25">
      <c r="A11" s="50">
        <f t="shared" si="0"/>
        <v>9</v>
      </c>
      <c r="B11" s="49"/>
      <c r="C11" s="49"/>
      <c r="D11" s="49"/>
    </row>
    <row r="12" spans="1:4" ht="21" customHeight="1" x14ac:dyDescent="0.25">
      <c r="A12" s="50">
        <f t="shared" si="0"/>
        <v>10</v>
      </c>
      <c r="B12" s="49"/>
      <c r="C12" s="49"/>
      <c r="D12" s="49"/>
    </row>
    <row r="13" spans="1:4" ht="21" customHeight="1" x14ac:dyDescent="0.25">
      <c r="A13" s="50">
        <f t="shared" si="0"/>
        <v>11</v>
      </c>
      <c r="B13" s="49"/>
      <c r="C13" s="49"/>
      <c r="D13" s="49"/>
    </row>
    <row r="14" spans="1:4" ht="21" customHeight="1" x14ac:dyDescent="0.25">
      <c r="A14" s="50">
        <f t="shared" si="0"/>
        <v>12</v>
      </c>
      <c r="B14" s="49"/>
      <c r="C14" s="49"/>
      <c r="D14" s="49"/>
    </row>
    <row r="15" spans="1:4" ht="21" customHeight="1" x14ac:dyDescent="0.25">
      <c r="A15" s="50">
        <f t="shared" si="0"/>
        <v>13</v>
      </c>
      <c r="B15" s="49"/>
      <c r="C15" s="49"/>
      <c r="D15" s="49"/>
    </row>
    <row r="16" spans="1:4" ht="21" customHeight="1" x14ac:dyDescent="0.25">
      <c r="A16" s="50">
        <f t="shared" si="0"/>
        <v>14</v>
      </c>
      <c r="B16" s="49"/>
      <c r="C16" s="49"/>
      <c r="D16" s="49"/>
    </row>
    <row r="17" spans="1:4" ht="21" customHeight="1" x14ac:dyDescent="0.25">
      <c r="A17" s="50">
        <f t="shared" si="0"/>
        <v>15</v>
      </c>
      <c r="B17" s="49"/>
      <c r="C17" s="49"/>
      <c r="D17" s="49"/>
    </row>
    <row r="18" spans="1:4" ht="21" customHeight="1" x14ac:dyDescent="0.25">
      <c r="A18" s="50">
        <f t="shared" si="0"/>
        <v>16</v>
      </c>
      <c r="B18" s="49"/>
      <c r="C18" s="49"/>
      <c r="D18" s="49"/>
    </row>
    <row r="19" spans="1:4" ht="21" customHeight="1" x14ac:dyDescent="0.25">
      <c r="A19" s="50">
        <f t="shared" si="0"/>
        <v>17</v>
      </c>
      <c r="B19" s="49"/>
      <c r="C19" s="49"/>
      <c r="D19" s="49"/>
    </row>
    <row r="20" spans="1:4" ht="21" customHeight="1" x14ac:dyDescent="0.25">
      <c r="A20" s="50">
        <f t="shared" si="0"/>
        <v>18</v>
      </c>
      <c r="B20" s="49"/>
      <c r="C20" s="49"/>
      <c r="D20" s="49"/>
    </row>
    <row r="21" spans="1:4" ht="21" customHeight="1" x14ac:dyDescent="0.25">
      <c r="A21" s="50">
        <f t="shared" si="0"/>
        <v>19</v>
      </c>
      <c r="B21" s="49"/>
      <c r="C21" s="49"/>
      <c r="D21" s="49"/>
    </row>
    <row r="22" spans="1:4" ht="21" customHeight="1" x14ac:dyDescent="0.25">
      <c r="A22" s="50">
        <f t="shared" si="0"/>
        <v>20</v>
      </c>
      <c r="B22" s="49"/>
      <c r="C22" s="49"/>
      <c r="D22" s="49"/>
    </row>
  </sheetData>
  <mergeCells count="1">
    <mergeCell ref="A1:D1"/>
  </mergeCells>
  <phoneticPr fontId="11" type="noConversion"/>
  <pageMargins left="0.35433070866141736" right="0.27559055118110237" top="1.299212598425197" bottom="0.62992125984251968" header="0.27559055118110237" footer="0.27559055118110237"/>
  <pageSetup paperSize="8"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12.0 
Issue Date: 11/02/2014&amp;R&amp;8Page &amp;P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10"/>
    <pageSetUpPr fitToPage="1"/>
  </sheetPr>
  <dimension ref="A1:AK151"/>
  <sheetViews>
    <sheetView tabSelected="1" topLeftCell="H17" zoomScale="55" zoomScaleNormal="55" zoomScaleSheetLayoutView="70" workbookViewId="0">
      <selection activeCell="R17" sqref="R17:R19"/>
    </sheetView>
  </sheetViews>
  <sheetFormatPr defaultColWidth="9.109375" defaultRowHeight="15" x14ac:dyDescent="0.25"/>
  <cols>
    <col min="1" max="1" width="3.109375" style="1" customWidth="1"/>
    <col min="2" max="2" width="5.33203125" style="16" customWidth="1"/>
    <col min="3" max="3" width="39.5546875" style="1" bestFit="1" customWidth="1"/>
    <col min="4" max="4" width="17.6640625" style="1" customWidth="1"/>
    <col min="5" max="5" width="25.109375" style="1" customWidth="1"/>
    <col min="6" max="6" width="41" style="1" customWidth="1"/>
    <col min="7" max="7" width="20.88671875" style="1" customWidth="1"/>
    <col min="8" max="8" width="9.5546875" style="14" customWidth="1"/>
    <col min="9" max="9" width="42.5546875" style="1" customWidth="1"/>
    <col min="10" max="10" width="57" style="1" customWidth="1"/>
    <col min="11" max="11" width="38.44140625" style="1" customWidth="1"/>
    <col min="12" max="12" width="22" style="1" customWidth="1"/>
    <col min="13" max="13" width="6.44140625" style="2" customWidth="1"/>
    <col min="14" max="15" width="6.33203125" style="2" customWidth="1"/>
    <col min="16" max="16" width="47" style="16" customWidth="1"/>
    <col min="17" max="17" width="25.5546875" style="167" customWidth="1"/>
    <col min="18" max="18" width="21.109375" style="167" customWidth="1"/>
    <col min="19" max="19" width="3.5546875" style="1" customWidth="1"/>
    <col min="20" max="20" width="9.109375" style="1"/>
    <col min="21" max="21" width="5.6640625" style="1" customWidth="1"/>
    <col min="22" max="22" width="6" style="1" customWidth="1"/>
    <col min="23" max="23" width="5" style="1" customWidth="1"/>
    <col min="24" max="31" width="11" style="1" customWidth="1"/>
    <col min="32" max="33" width="9.109375" style="1"/>
    <col min="34" max="34" width="9.88671875" style="1" customWidth="1"/>
    <col min="35" max="35" width="16.6640625" style="1" bestFit="1" customWidth="1"/>
    <col min="36" max="16384" width="9.109375" style="1"/>
  </cols>
  <sheetData>
    <row r="1" spans="1:29" x14ac:dyDescent="0.25">
      <c r="A1" s="161"/>
      <c r="B1" s="162"/>
      <c r="C1" s="161"/>
      <c r="D1" s="161"/>
      <c r="E1" s="161"/>
      <c r="F1" s="161"/>
      <c r="G1" s="161"/>
      <c r="H1" s="163"/>
      <c r="I1" s="161"/>
      <c r="J1" s="161"/>
      <c r="K1" s="161"/>
      <c r="L1" s="161"/>
      <c r="M1" s="164"/>
      <c r="N1" s="164"/>
      <c r="O1" s="164"/>
      <c r="P1" s="162"/>
      <c r="Q1" s="165"/>
      <c r="R1" s="165"/>
      <c r="S1" s="161"/>
    </row>
    <row r="2" spans="1:29" ht="152.25" customHeight="1" x14ac:dyDescent="0.25">
      <c r="A2" s="161"/>
      <c r="B2" s="139"/>
      <c r="C2" s="139" t="s">
        <v>52</v>
      </c>
      <c r="D2" s="140" t="s">
        <v>53</v>
      </c>
      <c r="E2" s="140" t="s">
        <v>54</v>
      </c>
      <c r="F2" s="140" t="s">
        <v>60</v>
      </c>
      <c r="G2" s="140" t="s">
        <v>55</v>
      </c>
      <c r="H2" s="141">
        <v>4</v>
      </c>
      <c r="I2" s="140" t="s">
        <v>56</v>
      </c>
      <c r="J2" s="140" t="s">
        <v>57</v>
      </c>
      <c r="K2" s="140" t="s">
        <v>58</v>
      </c>
      <c r="L2" s="140" t="s">
        <v>55</v>
      </c>
      <c r="M2" s="141">
        <v>30</v>
      </c>
      <c r="N2" s="141">
        <v>0.3</v>
      </c>
      <c r="O2" s="141">
        <f t="shared" ref="O2" si="0">M2*N2</f>
        <v>9</v>
      </c>
      <c r="P2" s="140" t="s">
        <v>59</v>
      </c>
      <c r="Q2" s="166"/>
      <c r="R2" s="166"/>
      <c r="S2" s="161"/>
    </row>
    <row r="3" spans="1:29" ht="45.75" customHeight="1" thickBot="1" x14ac:dyDescent="0.3">
      <c r="A3" s="161"/>
      <c r="B3" s="242" t="s">
        <v>158</v>
      </c>
      <c r="C3" s="243"/>
      <c r="D3" s="243"/>
      <c r="E3" s="243"/>
      <c r="F3" s="243"/>
      <c r="G3" s="243"/>
      <c r="H3" s="244"/>
      <c r="I3" s="244"/>
      <c r="J3" s="244"/>
      <c r="K3" s="244"/>
      <c r="L3" s="244"/>
      <c r="M3" s="243"/>
      <c r="N3" s="243"/>
      <c r="O3" s="243"/>
      <c r="P3" s="243"/>
      <c r="Q3" s="243"/>
      <c r="R3" s="243"/>
      <c r="S3" s="161"/>
    </row>
    <row r="4" spans="1:29" ht="67.5" customHeight="1" thickBot="1" x14ac:dyDescent="0.3">
      <c r="A4" s="161"/>
      <c r="B4" s="249" t="s">
        <v>4</v>
      </c>
      <c r="C4" s="251" t="s">
        <v>131</v>
      </c>
      <c r="D4" s="251" t="s">
        <v>9</v>
      </c>
      <c r="E4" s="261" t="s">
        <v>132</v>
      </c>
      <c r="F4" s="247" t="s">
        <v>133</v>
      </c>
      <c r="G4" s="247" t="s">
        <v>134</v>
      </c>
      <c r="H4" s="247" t="s">
        <v>135</v>
      </c>
      <c r="I4" s="247" t="s">
        <v>46</v>
      </c>
      <c r="J4" s="245" t="s">
        <v>10</v>
      </c>
      <c r="K4" s="246"/>
      <c r="L4" s="247" t="s">
        <v>136</v>
      </c>
      <c r="M4" s="253" t="s">
        <v>24</v>
      </c>
      <c r="N4" s="254"/>
      <c r="O4" s="254"/>
      <c r="P4" s="255" t="s">
        <v>5</v>
      </c>
      <c r="Q4" s="257" t="s">
        <v>18</v>
      </c>
      <c r="R4" s="259" t="s">
        <v>3</v>
      </c>
      <c r="S4" s="161" t="e">
        <f>SUM(B3+1)</f>
        <v>#VALUE!</v>
      </c>
      <c r="AC4" s="1" t="s">
        <v>30</v>
      </c>
    </row>
    <row r="5" spans="1:29" s="14" customFormat="1" ht="128.4" thickBot="1" x14ac:dyDescent="0.3">
      <c r="A5" s="163"/>
      <c r="B5" s="250"/>
      <c r="C5" s="252"/>
      <c r="D5" s="252"/>
      <c r="E5" s="262"/>
      <c r="F5" s="248"/>
      <c r="G5" s="248"/>
      <c r="H5" s="248"/>
      <c r="I5" s="248"/>
      <c r="J5" s="150" t="s">
        <v>43</v>
      </c>
      <c r="K5" s="151" t="s">
        <v>44</v>
      </c>
      <c r="L5" s="248"/>
      <c r="M5" s="152" t="s">
        <v>21</v>
      </c>
      <c r="N5" s="153" t="s">
        <v>22</v>
      </c>
      <c r="O5" s="153" t="s">
        <v>23</v>
      </c>
      <c r="P5" s="256"/>
      <c r="Q5" s="258"/>
      <c r="R5" s="260"/>
      <c r="S5" s="163"/>
    </row>
    <row r="6" spans="1:29" s="16" customFormat="1" ht="409.5" customHeight="1" x14ac:dyDescent="0.25">
      <c r="A6" s="162"/>
      <c r="B6" s="157">
        <v>1</v>
      </c>
      <c r="C6" s="263" t="s">
        <v>159</v>
      </c>
      <c r="D6" s="272" t="s">
        <v>153</v>
      </c>
      <c r="E6" s="272" t="s">
        <v>160</v>
      </c>
      <c r="F6" s="273" t="s">
        <v>161</v>
      </c>
      <c r="G6" s="272" t="s">
        <v>130</v>
      </c>
      <c r="H6" s="275">
        <v>5</v>
      </c>
      <c r="I6" s="272" t="s">
        <v>154</v>
      </c>
      <c r="J6" s="214" t="s">
        <v>162</v>
      </c>
      <c r="K6" s="226" t="s">
        <v>163</v>
      </c>
      <c r="L6" s="278" t="s">
        <v>124</v>
      </c>
      <c r="M6" s="279">
        <v>100</v>
      </c>
      <c r="N6" s="279">
        <v>0.3</v>
      </c>
      <c r="O6" s="281">
        <f t="shared" ref="O6:O15" si="1">M6*N6</f>
        <v>30</v>
      </c>
      <c r="P6" s="214" t="s">
        <v>188</v>
      </c>
      <c r="Q6" s="283" t="s">
        <v>189</v>
      </c>
      <c r="R6" s="285" t="s">
        <v>164</v>
      </c>
      <c r="S6" s="162"/>
    </row>
    <row r="7" spans="1:29" s="16" customFormat="1" ht="81" customHeight="1" thickBot="1" x14ac:dyDescent="0.3">
      <c r="A7" s="162"/>
      <c r="B7" s="157"/>
      <c r="C7" s="264"/>
      <c r="D7" s="230"/>
      <c r="E7" s="230"/>
      <c r="F7" s="274"/>
      <c r="G7" s="230"/>
      <c r="H7" s="276"/>
      <c r="I7" s="230"/>
      <c r="J7" s="230"/>
      <c r="K7" s="277"/>
      <c r="L7" s="277"/>
      <c r="M7" s="280"/>
      <c r="N7" s="280"/>
      <c r="O7" s="282"/>
      <c r="P7" s="230"/>
      <c r="Q7" s="284"/>
      <c r="R7" s="284"/>
      <c r="S7" s="162"/>
    </row>
    <row r="8" spans="1:29" s="16" customFormat="1" ht="324.60000000000002" thickBot="1" x14ac:dyDescent="0.3">
      <c r="A8" s="162"/>
      <c r="B8" s="158" t="e">
        <f>#REF!+1</f>
        <v>#REF!</v>
      </c>
      <c r="C8" s="265"/>
      <c r="D8" s="172" t="s">
        <v>190</v>
      </c>
      <c r="E8" s="154" t="s">
        <v>165</v>
      </c>
      <c r="F8" s="170" t="s">
        <v>166</v>
      </c>
      <c r="G8" s="154" t="s">
        <v>151</v>
      </c>
      <c r="H8" s="160">
        <v>2</v>
      </c>
      <c r="I8" s="154" t="s">
        <v>167</v>
      </c>
      <c r="J8" s="171" t="s">
        <v>168</v>
      </c>
      <c r="K8" s="155" t="s">
        <v>169</v>
      </c>
      <c r="L8" s="155" t="s">
        <v>155</v>
      </c>
      <c r="M8" s="143">
        <v>3</v>
      </c>
      <c r="N8" s="143">
        <v>0.3</v>
      </c>
      <c r="O8" s="144">
        <f t="shared" si="1"/>
        <v>0.89999999999999991</v>
      </c>
      <c r="P8" s="154" t="s">
        <v>206</v>
      </c>
      <c r="Q8" s="159" t="s">
        <v>170</v>
      </c>
      <c r="R8" s="159" t="s">
        <v>192</v>
      </c>
      <c r="S8" s="162"/>
    </row>
    <row r="9" spans="1:29" s="16" customFormat="1" ht="26.25" customHeight="1" x14ac:dyDescent="0.25">
      <c r="A9" s="162"/>
      <c r="B9" s="266"/>
      <c r="C9" s="267"/>
      <c r="D9" s="267"/>
      <c r="E9" s="267"/>
      <c r="F9" s="267"/>
      <c r="G9" s="267"/>
      <c r="H9" s="267"/>
      <c r="I9" s="267"/>
      <c r="J9" s="267"/>
      <c r="K9" s="267"/>
      <c r="L9" s="267"/>
      <c r="M9" s="267"/>
      <c r="N9" s="267"/>
      <c r="O9" s="267"/>
      <c r="P9" s="267"/>
      <c r="Q9" s="267"/>
      <c r="R9" s="268"/>
      <c r="S9" s="162"/>
    </row>
    <row r="10" spans="1:29" s="16" customFormat="1" ht="26.25" customHeight="1" x14ac:dyDescent="0.25">
      <c r="A10" s="162"/>
      <c r="B10" s="266"/>
      <c r="C10" s="267"/>
      <c r="D10" s="267"/>
      <c r="E10" s="267"/>
      <c r="F10" s="267"/>
      <c r="G10" s="267"/>
      <c r="H10" s="267"/>
      <c r="I10" s="267"/>
      <c r="J10" s="267"/>
      <c r="K10" s="267"/>
      <c r="L10" s="267"/>
      <c r="M10" s="267"/>
      <c r="N10" s="267"/>
      <c r="O10" s="267"/>
      <c r="P10" s="267"/>
      <c r="Q10" s="267"/>
      <c r="R10" s="268"/>
      <c r="S10" s="162"/>
    </row>
    <row r="11" spans="1:29" s="16" customFormat="1" ht="409.2" customHeight="1" x14ac:dyDescent="0.25">
      <c r="A11" s="162"/>
      <c r="B11" s="158"/>
      <c r="C11" s="231" t="s">
        <v>171</v>
      </c>
      <c r="D11" s="154" t="s">
        <v>197</v>
      </c>
      <c r="E11" s="154" t="s">
        <v>196</v>
      </c>
      <c r="F11" s="154" t="s">
        <v>173</v>
      </c>
      <c r="G11" s="154" t="s">
        <v>130</v>
      </c>
      <c r="H11" s="173">
        <v>5</v>
      </c>
      <c r="I11" s="154" t="s">
        <v>176</v>
      </c>
      <c r="J11" s="154" t="s">
        <v>193</v>
      </c>
      <c r="K11" s="155" t="s">
        <v>174</v>
      </c>
      <c r="L11" s="154" t="s">
        <v>130</v>
      </c>
      <c r="M11" s="173">
        <v>100</v>
      </c>
      <c r="N11" s="173">
        <v>0.3</v>
      </c>
      <c r="O11" s="174">
        <f t="shared" ref="O11" si="2">M11*N11</f>
        <v>30</v>
      </c>
      <c r="P11" s="154" t="s">
        <v>205</v>
      </c>
      <c r="Q11" s="159" t="s">
        <v>191</v>
      </c>
      <c r="R11" s="175" t="s">
        <v>175</v>
      </c>
      <c r="S11" s="162"/>
    </row>
    <row r="12" spans="1:29" s="16" customFormat="1" ht="408" customHeight="1" x14ac:dyDescent="0.25">
      <c r="A12" s="162"/>
      <c r="B12" s="158"/>
      <c r="C12" s="232"/>
      <c r="D12" s="234" t="s">
        <v>198</v>
      </c>
      <c r="E12" s="234" t="s">
        <v>152</v>
      </c>
      <c r="F12" s="234" t="s">
        <v>172</v>
      </c>
      <c r="G12" s="234" t="s">
        <v>130</v>
      </c>
      <c r="H12" s="235">
        <v>5</v>
      </c>
      <c r="I12" s="234" t="s">
        <v>200</v>
      </c>
      <c r="J12" s="234" t="s">
        <v>194</v>
      </c>
      <c r="K12" s="236" t="s">
        <v>177</v>
      </c>
      <c r="L12" s="234" t="s">
        <v>130</v>
      </c>
      <c r="M12" s="235">
        <v>100</v>
      </c>
      <c r="N12" s="235">
        <v>0.3</v>
      </c>
      <c r="O12" s="237">
        <f t="shared" ref="O12" si="3">M12*N12</f>
        <v>30</v>
      </c>
      <c r="P12" s="234" t="s">
        <v>204</v>
      </c>
      <c r="Q12" s="228" t="s">
        <v>195</v>
      </c>
      <c r="R12" s="228" t="s">
        <v>178</v>
      </c>
      <c r="S12" s="162"/>
    </row>
    <row r="13" spans="1:29" s="16" customFormat="1" ht="44.25" customHeight="1" x14ac:dyDescent="0.25">
      <c r="A13" s="162"/>
      <c r="B13" s="158"/>
      <c r="C13" s="233"/>
      <c r="D13" s="234"/>
      <c r="E13" s="234"/>
      <c r="F13" s="234"/>
      <c r="G13" s="234"/>
      <c r="H13" s="235"/>
      <c r="I13" s="234"/>
      <c r="J13" s="234"/>
      <c r="K13" s="236"/>
      <c r="L13" s="234"/>
      <c r="M13" s="235"/>
      <c r="N13" s="235"/>
      <c r="O13" s="237"/>
      <c r="P13" s="234"/>
      <c r="Q13" s="229"/>
      <c r="R13" s="229"/>
      <c r="S13" s="162"/>
    </row>
    <row r="14" spans="1:29" s="16" customFormat="1" ht="25.5" customHeight="1" x14ac:dyDescent="0.25">
      <c r="A14" s="162"/>
      <c r="B14" s="158"/>
      <c r="C14" s="169"/>
      <c r="D14" s="269">
        <f>M14*N14</f>
        <v>0</v>
      </c>
      <c r="E14" s="270"/>
      <c r="F14" s="270"/>
      <c r="G14" s="270"/>
      <c r="H14" s="270"/>
      <c r="I14" s="270"/>
      <c r="J14" s="270"/>
      <c r="K14" s="270"/>
      <c r="L14" s="270"/>
      <c r="M14" s="270"/>
      <c r="N14" s="270"/>
      <c r="O14" s="270"/>
      <c r="P14" s="270"/>
      <c r="Q14" s="270"/>
      <c r="R14" s="271"/>
      <c r="S14" s="162"/>
    </row>
    <row r="15" spans="1:29" s="16" customFormat="1" ht="401.25" customHeight="1" x14ac:dyDescent="0.25">
      <c r="A15" s="162"/>
      <c r="B15" s="142">
        <v>9</v>
      </c>
      <c r="C15" s="231" t="s">
        <v>179</v>
      </c>
      <c r="D15" s="214" t="s">
        <v>198</v>
      </c>
      <c r="E15" s="214" t="s">
        <v>199</v>
      </c>
      <c r="F15" s="214" t="s">
        <v>180</v>
      </c>
      <c r="G15" s="214" t="s">
        <v>130</v>
      </c>
      <c r="H15" s="220">
        <v>5</v>
      </c>
      <c r="I15" s="214" t="s">
        <v>181</v>
      </c>
      <c r="J15" s="214" t="s">
        <v>201</v>
      </c>
      <c r="K15" s="214" t="s">
        <v>156</v>
      </c>
      <c r="L15" s="214" t="s">
        <v>130</v>
      </c>
      <c r="M15" s="238">
        <v>100</v>
      </c>
      <c r="N15" s="220">
        <v>0.1</v>
      </c>
      <c r="O15" s="223">
        <f t="shared" si="1"/>
        <v>10</v>
      </c>
      <c r="P15" s="214" t="s">
        <v>186</v>
      </c>
      <c r="Q15" s="214" t="s">
        <v>185</v>
      </c>
      <c r="R15" s="214" t="s">
        <v>187</v>
      </c>
      <c r="S15" s="162"/>
    </row>
    <row r="16" spans="1:29" s="16" customFormat="1" ht="409.2" customHeight="1" x14ac:dyDescent="0.25">
      <c r="A16" s="162"/>
      <c r="B16" s="142"/>
      <c r="C16" s="232"/>
      <c r="D16" s="227"/>
      <c r="E16" s="230"/>
      <c r="F16" s="230"/>
      <c r="G16" s="230"/>
      <c r="H16" s="240"/>
      <c r="I16" s="230"/>
      <c r="J16" s="230"/>
      <c r="K16" s="230"/>
      <c r="L16" s="230"/>
      <c r="M16" s="239"/>
      <c r="N16" s="240"/>
      <c r="O16" s="241"/>
      <c r="P16" s="230"/>
      <c r="Q16" s="230"/>
      <c r="R16" s="230"/>
      <c r="S16" s="162"/>
    </row>
    <row r="17" spans="1:19" s="16" customFormat="1" x14ac:dyDescent="0.25">
      <c r="A17" s="162"/>
      <c r="B17" s="217">
        <v>10</v>
      </c>
      <c r="C17" s="232"/>
      <c r="D17" s="227"/>
      <c r="E17" s="226" t="s">
        <v>202</v>
      </c>
      <c r="F17" s="214" t="s">
        <v>182</v>
      </c>
      <c r="G17" s="214" t="s">
        <v>130</v>
      </c>
      <c r="H17" s="220">
        <v>5</v>
      </c>
      <c r="I17" s="214" t="s">
        <v>157</v>
      </c>
      <c r="J17" s="214" t="s">
        <v>207</v>
      </c>
      <c r="K17" s="214" t="s">
        <v>183</v>
      </c>
      <c r="L17" s="214" t="s">
        <v>130</v>
      </c>
      <c r="M17" s="220">
        <v>100</v>
      </c>
      <c r="N17" s="220">
        <v>0.3</v>
      </c>
      <c r="O17" s="223">
        <v>30</v>
      </c>
      <c r="P17" s="214" t="s">
        <v>184</v>
      </c>
      <c r="Q17" s="214" t="s">
        <v>203</v>
      </c>
      <c r="R17" s="214" t="s">
        <v>187</v>
      </c>
      <c r="S17" s="162"/>
    </row>
    <row r="18" spans="1:19" s="16" customFormat="1" x14ac:dyDescent="0.25">
      <c r="A18" s="162"/>
      <c r="B18" s="218"/>
      <c r="C18" s="232"/>
      <c r="D18" s="215"/>
      <c r="E18" s="215"/>
      <c r="F18" s="215"/>
      <c r="G18" s="215"/>
      <c r="H18" s="221"/>
      <c r="I18" s="215"/>
      <c r="J18" s="215"/>
      <c r="K18" s="215"/>
      <c r="L18" s="215"/>
      <c r="M18" s="221"/>
      <c r="N18" s="221"/>
      <c r="O18" s="224"/>
      <c r="P18" s="215"/>
      <c r="Q18" s="215"/>
      <c r="R18" s="215"/>
      <c r="S18" s="162"/>
    </row>
    <row r="19" spans="1:19" s="16" customFormat="1" ht="408.6" customHeight="1" x14ac:dyDescent="0.25">
      <c r="A19" s="162"/>
      <c r="B19" s="219"/>
      <c r="C19" s="233"/>
      <c r="D19" s="216"/>
      <c r="E19" s="216"/>
      <c r="F19" s="216"/>
      <c r="G19" s="216"/>
      <c r="H19" s="222"/>
      <c r="I19" s="216"/>
      <c r="J19" s="215"/>
      <c r="K19" s="216"/>
      <c r="L19" s="216"/>
      <c r="M19" s="222"/>
      <c r="N19" s="222"/>
      <c r="O19" s="225"/>
      <c r="P19" s="216"/>
      <c r="Q19" s="216"/>
      <c r="R19" s="216"/>
      <c r="S19" s="162"/>
    </row>
    <row r="20" spans="1:19" ht="16.5" customHeight="1" x14ac:dyDescent="0.25">
      <c r="B20" s="1"/>
    </row>
    <row r="21" spans="1:19" ht="16.5" customHeight="1" x14ac:dyDescent="0.25"/>
    <row r="22" spans="1:19" ht="16.5" customHeight="1" x14ac:dyDescent="0.25"/>
    <row r="23" spans="1:19" ht="16.5" customHeight="1" x14ac:dyDescent="0.25"/>
    <row r="24" spans="1:19" ht="16.5" customHeight="1" x14ac:dyDescent="0.25"/>
    <row r="25" spans="1:19" ht="16.5" customHeight="1" x14ac:dyDescent="0.25"/>
    <row r="26" spans="1:19" ht="16.5" customHeight="1" x14ac:dyDescent="0.25"/>
    <row r="27" spans="1:19" ht="16.5" customHeight="1" x14ac:dyDescent="0.25">
      <c r="P27" s="16" t="s">
        <v>30</v>
      </c>
    </row>
    <row r="28" spans="1:19" ht="16.5" customHeight="1" x14ac:dyDescent="0.25"/>
    <row r="29" spans="1:19" ht="16.5" customHeight="1" x14ac:dyDescent="0.25"/>
    <row r="30" spans="1:19" ht="16.5" customHeight="1" x14ac:dyDescent="0.25"/>
    <row r="31" spans="1:19" ht="16.5" customHeight="1" x14ac:dyDescent="0.25"/>
    <row r="32" spans="1:19"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row r="45" ht="16.5" customHeight="1" x14ac:dyDescent="0.25"/>
    <row r="46" ht="16.5" customHeight="1" x14ac:dyDescent="0.25"/>
    <row r="47" ht="16.5" customHeight="1" x14ac:dyDescent="0.25"/>
    <row r="48" ht="16.5" customHeight="1" x14ac:dyDescent="0.25"/>
    <row r="49" spans="15:15" ht="16.5" customHeight="1" x14ac:dyDescent="0.25"/>
    <row r="50" spans="15:15" ht="16.5" customHeight="1" x14ac:dyDescent="0.25"/>
    <row r="51" spans="15:15" ht="16.5" customHeight="1" x14ac:dyDescent="0.25"/>
    <row r="52" spans="15:15" ht="16.5" customHeight="1" x14ac:dyDescent="0.25"/>
    <row r="53" spans="15:15" ht="16.5" customHeight="1" x14ac:dyDescent="0.25"/>
    <row r="54" spans="15:15" ht="16.5" customHeight="1" x14ac:dyDescent="0.25"/>
    <row r="55" spans="15:15" ht="16.5" customHeight="1" x14ac:dyDescent="0.25"/>
    <row r="56" spans="15:15" ht="16.5" customHeight="1" x14ac:dyDescent="0.25"/>
    <row r="57" spans="15:15" ht="16.5" customHeight="1" x14ac:dyDescent="0.25"/>
    <row r="58" spans="15:15" ht="16.5" customHeight="1" x14ac:dyDescent="0.25">
      <c r="O58" s="2" t="s">
        <v>30</v>
      </c>
    </row>
    <row r="59" spans="15:15" ht="16.5" customHeight="1" x14ac:dyDescent="0.25"/>
    <row r="60" spans="15:15" ht="16.5" customHeight="1" x14ac:dyDescent="0.25"/>
    <row r="61" spans="15:15" ht="16.5" customHeight="1" x14ac:dyDescent="0.25"/>
    <row r="62" spans="15:15" ht="16.5" customHeight="1" x14ac:dyDescent="0.25"/>
    <row r="63" spans="15:15" ht="16.5" customHeight="1" x14ac:dyDescent="0.25"/>
    <row r="64" spans="15:15" ht="16.5" customHeight="1" x14ac:dyDescent="0.25"/>
    <row r="65" ht="16.5" customHeight="1" x14ac:dyDescent="0.25"/>
    <row r="66" ht="16.5" customHeight="1" x14ac:dyDescent="0.25"/>
    <row r="67" ht="16.5" customHeight="1" x14ac:dyDescent="0.25"/>
    <row r="68" ht="16.5" customHeight="1" x14ac:dyDescent="0.25"/>
    <row r="69" ht="16.5" customHeight="1" x14ac:dyDescent="0.25"/>
    <row r="70" ht="16.5" customHeight="1" x14ac:dyDescent="0.25"/>
    <row r="71" ht="16.5" customHeight="1" x14ac:dyDescent="0.25"/>
    <row r="72" ht="16.5" customHeight="1" x14ac:dyDescent="0.25"/>
    <row r="73" ht="16.5" customHeight="1" x14ac:dyDescent="0.25"/>
    <row r="74" ht="16.5" customHeight="1" x14ac:dyDescent="0.25"/>
    <row r="75" ht="16.5" customHeight="1" x14ac:dyDescent="0.25"/>
    <row r="76" ht="16.5" customHeight="1" x14ac:dyDescent="0.25"/>
    <row r="77" ht="16.5" customHeight="1" x14ac:dyDescent="0.25"/>
    <row r="78" ht="16.5" customHeight="1" x14ac:dyDescent="0.25"/>
    <row r="79" ht="16.5" customHeight="1" x14ac:dyDescent="0.25"/>
    <row r="80" ht="16.5" customHeight="1" x14ac:dyDescent="0.25"/>
    <row r="81" spans="2:18" ht="16.5" customHeight="1" x14ac:dyDescent="0.25"/>
    <row r="82" spans="2:18" ht="16.5" customHeight="1" x14ac:dyDescent="0.25"/>
    <row r="83" spans="2:18" ht="16.5" customHeight="1" x14ac:dyDescent="0.25"/>
    <row r="84" spans="2:18" ht="16.5" customHeight="1" x14ac:dyDescent="0.25"/>
    <row r="85" spans="2:18" ht="16.5" customHeight="1" x14ac:dyDescent="0.25"/>
    <row r="86" spans="2:18" ht="16.5" customHeight="1" x14ac:dyDescent="0.25"/>
    <row r="87" spans="2:18" ht="16.5" customHeight="1" x14ac:dyDescent="0.25"/>
    <row r="89" spans="2:18" s="17" customFormat="1" x14ac:dyDescent="0.25">
      <c r="B89" s="16"/>
      <c r="C89" s="1"/>
      <c r="D89" s="1"/>
      <c r="E89" s="1"/>
      <c r="F89" s="1"/>
      <c r="G89" s="1"/>
      <c r="H89" s="14"/>
      <c r="I89" s="1"/>
      <c r="J89" s="1"/>
      <c r="K89" s="1"/>
      <c r="L89" s="1"/>
      <c r="M89" s="2"/>
      <c r="N89" s="2"/>
      <c r="O89" s="2"/>
      <c r="P89" s="16"/>
      <c r="Q89" s="167"/>
      <c r="R89" s="167"/>
    </row>
    <row r="91" spans="2:18" x14ac:dyDescent="0.25">
      <c r="F91" s="145"/>
    </row>
    <row r="92" spans="2:18" x14ac:dyDescent="0.25">
      <c r="F92" s="145"/>
    </row>
    <row r="93" spans="2:18" x14ac:dyDescent="0.25">
      <c r="F93" s="145"/>
    </row>
    <row r="94" spans="2:18" x14ac:dyDescent="0.25">
      <c r="F94" s="145"/>
    </row>
    <row r="95" spans="2:18" x14ac:dyDescent="0.25">
      <c r="F95" s="145"/>
    </row>
    <row r="98" spans="13:15" x14ac:dyDescent="0.25">
      <c r="N98" s="1"/>
      <c r="O98" s="1"/>
    </row>
    <row r="99" spans="13:15" x14ac:dyDescent="0.25">
      <c r="M99" s="1"/>
      <c r="N99" s="1"/>
      <c r="O99" s="1"/>
    </row>
    <row r="100" spans="13:15" x14ac:dyDescent="0.25">
      <c r="O100" s="1"/>
    </row>
    <row r="101" spans="13:15" x14ac:dyDescent="0.25">
      <c r="O101" s="1"/>
    </row>
    <row r="102" spans="13:15" x14ac:dyDescent="0.25">
      <c r="O102" s="1"/>
    </row>
    <row r="103" spans="13:15" x14ac:dyDescent="0.25">
      <c r="O103" s="1"/>
    </row>
    <row r="104" spans="13:15" x14ac:dyDescent="0.25">
      <c r="O104" s="1"/>
    </row>
    <row r="105" spans="13:15" x14ac:dyDescent="0.25">
      <c r="O105" s="1"/>
    </row>
    <row r="106" spans="13:15" x14ac:dyDescent="0.25">
      <c r="O106" s="1"/>
    </row>
    <row r="107" spans="13:15" x14ac:dyDescent="0.25">
      <c r="O107" s="1"/>
    </row>
    <row r="108" spans="13:15" x14ac:dyDescent="0.25">
      <c r="O108" s="1"/>
    </row>
    <row r="109" spans="13:15" x14ac:dyDescent="0.25">
      <c r="O109" s="1"/>
    </row>
    <row r="110" spans="13:15" x14ac:dyDescent="0.25">
      <c r="O110" s="1"/>
    </row>
    <row r="111" spans="13:15" x14ac:dyDescent="0.25">
      <c r="O111" s="1"/>
    </row>
    <row r="112" spans="13:15" x14ac:dyDescent="0.25">
      <c r="O112" s="1"/>
    </row>
    <row r="138" spans="2:37" s="52" customFormat="1" x14ac:dyDescent="0.25">
      <c r="B138" s="54"/>
      <c r="H138" s="133"/>
      <c r="M138" s="53"/>
      <c r="N138" s="53"/>
      <c r="O138" s="53"/>
      <c r="P138" s="54"/>
      <c r="Q138" s="168"/>
      <c r="R138" s="168"/>
    </row>
    <row r="139" spans="2:37" s="52" customFormat="1" ht="15.6" x14ac:dyDescent="0.25">
      <c r="B139" s="54"/>
      <c r="H139" s="133"/>
      <c r="M139" s="53"/>
      <c r="N139" s="53"/>
      <c r="O139" s="53"/>
      <c r="P139" s="54"/>
      <c r="Q139" s="168"/>
      <c r="R139" s="168"/>
      <c r="AF139" s="146" t="s">
        <v>28</v>
      </c>
      <c r="AI139" s="53"/>
      <c r="AJ139" s="53"/>
      <c r="AK139" s="53"/>
    </row>
    <row r="140" spans="2:37" s="52" customFormat="1" x14ac:dyDescent="0.25">
      <c r="B140" s="54"/>
      <c r="H140" s="133"/>
      <c r="M140" s="53"/>
      <c r="N140" s="53"/>
      <c r="O140" s="53"/>
      <c r="P140" s="54"/>
      <c r="Q140" s="168"/>
      <c r="R140" s="168"/>
      <c r="AI140" s="53"/>
      <c r="AJ140" s="53"/>
      <c r="AK140" s="53"/>
    </row>
    <row r="141" spans="2:37" s="52" customFormat="1" ht="15.6" x14ac:dyDescent="0.3">
      <c r="B141" s="54"/>
      <c r="H141" s="133"/>
      <c r="M141" s="53"/>
      <c r="N141" s="53"/>
      <c r="O141" s="53"/>
      <c r="P141" s="54"/>
      <c r="Q141" s="168"/>
      <c r="R141" s="168"/>
      <c r="AF141" s="55" t="s">
        <v>27</v>
      </c>
      <c r="AG141" s="55" t="s">
        <v>26</v>
      </c>
      <c r="AH141" s="55" t="s">
        <v>45</v>
      </c>
      <c r="AI141" s="55" t="s">
        <v>47</v>
      </c>
      <c r="AJ141" s="54"/>
      <c r="AK141" s="53"/>
    </row>
    <row r="142" spans="2:37" s="52" customFormat="1" ht="15.6" x14ac:dyDescent="0.25">
      <c r="B142" s="54"/>
      <c r="H142" s="133"/>
      <c r="M142" s="53"/>
      <c r="N142" s="53"/>
      <c r="O142" s="53"/>
      <c r="P142" s="54"/>
      <c r="Q142" s="168"/>
      <c r="R142" s="168"/>
      <c r="AF142" s="147">
        <v>1000</v>
      </c>
      <c r="AG142" s="147">
        <v>10</v>
      </c>
      <c r="AH142" s="147">
        <v>1</v>
      </c>
      <c r="AI142" s="53"/>
      <c r="AJ142" s="147" t="s">
        <v>48</v>
      </c>
      <c r="AK142" s="53"/>
    </row>
    <row r="143" spans="2:37" s="52" customFormat="1" ht="15.6" x14ac:dyDescent="0.25">
      <c r="B143" s="54"/>
      <c r="H143" s="133"/>
      <c r="M143" s="53"/>
      <c r="N143" s="53"/>
      <c r="O143" s="53"/>
      <c r="P143" s="54"/>
      <c r="Q143" s="168"/>
      <c r="R143" s="168"/>
      <c r="AF143" s="147">
        <v>300</v>
      </c>
      <c r="AG143" s="147">
        <v>3</v>
      </c>
      <c r="AH143" s="147">
        <v>2</v>
      </c>
      <c r="AI143" s="53"/>
      <c r="AJ143" s="147" t="s">
        <v>29</v>
      </c>
      <c r="AK143" s="53"/>
    </row>
    <row r="144" spans="2:37" s="52" customFormat="1" ht="15.6" x14ac:dyDescent="0.25">
      <c r="B144" s="54"/>
      <c r="H144" s="133"/>
      <c r="M144" s="53"/>
      <c r="N144" s="53"/>
      <c r="O144" s="53"/>
      <c r="P144" s="54"/>
      <c r="Q144" s="168"/>
      <c r="R144" s="168"/>
      <c r="AF144" s="147">
        <v>100</v>
      </c>
      <c r="AG144" s="147">
        <v>1</v>
      </c>
      <c r="AH144" s="147">
        <v>3</v>
      </c>
      <c r="AI144" s="53"/>
      <c r="AJ144" s="147"/>
      <c r="AK144" s="53"/>
    </row>
    <row r="145" spans="2:37" s="52" customFormat="1" ht="15.6" x14ac:dyDescent="0.25">
      <c r="B145" s="54"/>
      <c r="H145" s="133"/>
      <c r="M145" s="53"/>
      <c r="N145" s="53"/>
      <c r="O145" s="53"/>
      <c r="P145" s="54"/>
      <c r="Q145" s="168"/>
      <c r="R145" s="168"/>
      <c r="AF145" s="147">
        <v>30</v>
      </c>
      <c r="AG145" s="147">
        <v>0.3</v>
      </c>
      <c r="AH145" s="147">
        <v>4</v>
      </c>
      <c r="AI145" s="53"/>
      <c r="AJ145" s="54"/>
      <c r="AK145" s="54"/>
    </row>
    <row r="146" spans="2:37" s="52" customFormat="1" ht="15.6" x14ac:dyDescent="0.25">
      <c r="B146" s="54"/>
      <c r="H146" s="133"/>
      <c r="M146" s="53"/>
      <c r="N146" s="53"/>
      <c r="O146" s="53"/>
      <c r="P146" s="54"/>
      <c r="Q146" s="168"/>
      <c r="R146" s="168"/>
      <c r="AF146" s="147">
        <v>10</v>
      </c>
      <c r="AG146" s="147">
        <v>0.1</v>
      </c>
      <c r="AH146" s="147">
        <v>5</v>
      </c>
      <c r="AI146" s="53"/>
      <c r="AJ146" s="54"/>
      <c r="AK146" s="54"/>
    </row>
    <row r="147" spans="2:37" s="52" customFormat="1" ht="15.6" x14ac:dyDescent="0.25">
      <c r="B147" s="54"/>
      <c r="H147" s="133"/>
      <c r="M147" s="53"/>
      <c r="N147" s="53"/>
      <c r="O147" s="53"/>
      <c r="P147" s="54"/>
      <c r="Q147" s="168"/>
      <c r="R147" s="168"/>
      <c r="AF147" s="148">
        <v>3</v>
      </c>
      <c r="AG147" s="148">
        <v>0.03</v>
      </c>
      <c r="AH147" s="148">
        <v>6</v>
      </c>
      <c r="AI147" s="53"/>
      <c r="AJ147" s="54"/>
      <c r="AK147" s="54"/>
    </row>
    <row r="148" spans="2:37" s="52" customFormat="1" ht="15.6" x14ac:dyDescent="0.25">
      <c r="B148" s="54"/>
      <c r="H148" s="133"/>
      <c r="M148" s="53"/>
      <c r="N148" s="53"/>
      <c r="O148" s="53"/>
      <c r="P148" s="54"/>
      <c r="Q148" s="168"/>
      <c r="R148" s="168"/>
      <c r="AF148" s="147">
        <v>1</v>
      </c>
      <c r="AG148" s="147"/>
      <c r="AH148" s="147">
        <v>7</v>
      </c>
      <c r="AI148" s="53"/>
      <c r="AJ148" s="54"/>
      <c r="AK148" s="54"/>
    </row>
    <row r="149" spans="2:37" s="52" customFormat="1" ht="15.6" x14ac:dyDescent="0.25">
      <c r="B149" s="54"/>
      <c r="H149" s="133"/>
      <c r="M149" s="53"/>
      <c r="N149" s="53"/>
      <c r="O149" s="53"/>
      <c r="P149" s="54"/>
      <c r="Q149" s="168"/>
      <c r="R149" s="168"/>
      <c r="AF149" s="147"/>
      <c r="AG149" s="149"/>
      <c r="AH149" s="147"/>
      <c r="AI149" s="53"/>
      <c r="AJ149" s="54"/>
      <c r="AK149" s="54"/>
    </row>
    <row r="150" spans="2:37" s="52" customFormat="1" x14ac:dyDescent="0.25">
      <c r="B150" s="54"/>
      <c r="H150" s="133"/>
      <c r="M150" s="53"/>
      <c r="N150" s="53"/>
      <c r="O150" s="53"/>
      <c r="P150" s="54"/>
      <c r="Q150" s="168"/>
      <c r="R150" s="168"/>
      <c r="AI150" s="53"/>
      <c r="AJ150" s="53"/>
      <c r="AK150" s="53"/>
    </row>
    <row r="151" spans="2:37" x14ac:dyDescent="0.25">
      <c r="B151" s="54"/>
      <c r="C151" s="52"/>
      <c r="D151" s="52"/>
      <c r="E151" s="52"/>
      <c r="F151" s="52"/>
      <c r="G151" s="52"/>
      <c r="H151" s="133"/>
      <c r="I151" s="52"/>
      <c r="J151" s="52"/>
      <c r="K151" s="52"/>
      <c r="L151" s="52"/>
      <c r="M151" s="53"/>
      <c r="N151" s="53"/>
      <c r="O151" s="53"/>
      <c r="P151" s="54"/>
    </row>
  </sheetData>
  <sheetProtection selectLockedCells="1" selectUnlockedCells="1"/>
  <mergeCells count="81">
    <mergeCell ref="O6:O7"/>
    <mergeCell ref="P6:P7"/>
    <mergeCell ref="Q6:Q7"/>
    <mergeCell ref="R6:R7"/>
    <mergeCell ref="C15:C19"/>
    <mergeCell ref="R12:R13"/>
    <mergeCell ref="D14:R14"/>
    <mergeCell ref="E15:E16"/>
    <mergeCell ref="F15:F16"/>
    <mergeCell ref="C6:C8"/>
    <mergeCell ref="B9:R9"/>
    <mergeCell ref="B10:R10"/>
    <mergeCell ref="D6:D7"/>
    <mergeCell ref="E6:E7"/>
    <mergeCell ref="F6:F7"/>
    <mergeCell ref="G6:G7"/>
    <mergeCell ref="H6:H7"/>
    <mergeCell ref="I6:I7"/>
    <mergeCell ref="J6:J7"/>
    <mergeCell ref="K6:K7"/>
    <mergeCell ref="L6:L7"/>
    <mergeCell ref="M6:M7"/>
    <mergeCell ref="N6:N7"/>
    <mergeCell ref="B3:R3"/>
    <mergeCell ref="J4:K4"/>
    <mergeCell ref="H4:H5"/>
    <mergeCell ref="I4:I5"/>
    <mergeCell ref="B4:B5"/>
    <mergeCell ref="C4:C5"/>
    <mergeCell ref="D4:D5"/>
    <mergeCell ref="M4:O4"/>
    <mergeCell ref="P4:P5"/>
    <mergeCell ref="Q4:Q5"/>
    <mergeCell ref="R4:R5"/>
    <mergeCell ref="E4:E5"/>
    <mergeCell ref="F4:F5"/>
    <mergeCell ref="G4:G5"/>
    <mergeCell ref="L4:L5"/>
    <mergeCell ref="G15:G16"/>
    <mergeCell ref="H15:H16"/>
    <mergeCell ref="I15:I16"/>
    <mergeCell ref="J15:J16"/>
    <mergeCell ref="K15:K16"/>
    <mergeCell ref="P12:P13"/>
    <mergeCell ref="L15:L16"/>
    <mergeCell ref="M15:M16"/>
    <mergeCell ref="N15:N16"/>
    <mergeCell ref="O15:O16"/>
    <mergeCell ref="P15:P16"/>
    <mergeCell ref="Q12:Q13"/>
    <mergeCell ref="Q15:Q16"/>
    <mergeCell ref="C11:C13"/>
    <mergeCell ref="R15:R16"/>
    <mergeCell ref="D12:D13"/>
    <mergeCell ref="E12:E13"/>
    <mergeCell ref="F12:F13"/>
    <mergeCell ref="G12:G13"/>
    <mergeCell ref="H12:H13"/>
    <mergeCell ref="I12:I13"/>
    <mergeCell ref="J12:J13"/>
    <mergeCell ref="K12:K13"/>
    <mergeCell ref="L12:L13"/>
    <mergeCell ref="M12:M13"/>
    <mergeCell ref="N12:N13"/>
    <mergeCell ref="O12:O13"/>
    <mergeCell ref="P17:P19"/>
    <mergeCell ref="Q17:Q19"/>
    <mergeCell ref="R17:R19"/>
    <mergeCell ref="J17:J19"/>
    <mergeCell ref="B17:B19"/>
    <mergeCell ref="K17:K19"/>
    <mergeCell ref="L17:L19"/>
    <mergeCell ref="M17:M19"/>
    <mergeCell ref="N17:N19"/>
    <mergeCell ref="O17:O19"/>
    <mergeCell ref="E17:E19"/>
    <mergeCell ref="G17:G19"/>
    <mergeCell ref="H17:H19"/>
    <mergeCell ref="I17:I19"/>
    <mergeCell ref="F17:F19"/>
    <mergeCell ref="D15:D19"/>
  </mergeCells>
  <phoneticPr fontId="0" type="noConversion"/>
  <dataValidations count="3">
    <dataValidation type="list" showInputMessage="1" showErrorMessage="1" sqref="N2 N11:N12 N8 N15 N6 N17">
      <formula1>$AG$142:$AG$148</formula1>
    </dataValidation>
    <dataValidation type="list" showInputMessage="1" showErrorMessage="1" sqref="M2 M11:M12 M8 M15 M6 M17">
      <formula1>$AF$142:$AF$149</formula1>
    </dataValidation>
    <dataValidation type="list" showInputMessage="1" showErrorMessage="1" sqref="H2 H11:H12 H8 H15 H6 H17">
      <formula1>$AH$142:$AH$149</formula1>
    </dataValidation>
  </dataValidations>
  <pageMargins left="0.25" right="0.25" top="0.75" bottom="0.75" header="0.3" footer="0.3"/>
  <pageSetup paperSize="8" scale="48" fitToHeight="0" orientation="landscape" horizontalDpi="300" verticalDpi="300" copies="2" r:id="rId1"/>
  <headerFooter alignWithMargins="0">
    <oddHeader>&amp;L&amp;G&amp;CFRM-IHS-SAF-100
Refer to SPR-IHS-SAF-044 - WAIO Risk Management Procedure&amp;RBHP Billiton Iron Ore
&amp;"Arial,Bold"WAIO Health &amp; Safety</oddHeader>
    <oddFooter>&amp;L&amp;8Form No: FRM-IHS-SAF-100
Issue No: 12.0 
Issue Date: 11/02/2014&amp;R&amp;8Page &amp;P of &amp;N</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8"/>
    <pageSetUpPr fitToPage="1"/>
  </sheetPr>
  <dimension ref="A1:H23"/>
  <sheetViews>
    <sheetView workbookViewId="0">
      <selection activeCell="H11" sqref="H11"/>
    </sheetView>
  </sheetViews>
  <sheetFormatPr defaultColWidth="9.109375" defaultRowHeight="13.2" x14ac:dyDescent="0.25"/>
  <cols>
    <col min="1" max="1" width="9.109375" style="12"/>
    <col min="2" max="2" width="19.33203125" style="12" customWidth="1"/>
    <col min="3" max="3" width="65.5546875" style="12" customWidth="1"/>
    <col min="4" max="4" width="17.44140625" style="12" customWidth="1"/>
    <col min="5" max="6" width="14.88671875" style="12" customWidth="1"/>
    <col min="7" max="7" width="15" style="12" customWidth="1"/>
    <col min="8" max="8" width="35.5546875" style="12" customWidth="1"/>
    <col min="9" max="16384" width="9.109375" style="12"/>
  </cols>
  <sheetData>
    <row r="1" spans="1:8" ht="32.25" customHeight="1" thickBot="1" x14ac:dyDescent="0.3">
      <c r="A1" s="286" t="s">
        <v>64</v>
      </c>
      <c r="B1" s="287"/>
      <c r="C1" s="287"/>
      <c r="D1" s="288" t="str">
        <f>+'Cover Page'!D7</f>
        <v>Risks associated with the use of BHP Billiton Iron Ore rail access roads and rail level crossings by Mulga Downs Station personnel and associates.</v>
      </c>
      <c r="E1" s="288"/>
      <c r="F1" s="288"/>
      <c r="G1" s="288"/>
      <c r="H1" s="289"/>
    </row>
    <row r="2" spans="1:8" ht="40.200000000000003" thickBot="1" x14ac:dyDescent="0.3">
      <c r="A2" s="6" t="s">
        <v>29</v>
      </c>
      <c r="B2" s="7" t="s">
        <v>25</v>
      </c>
      <c r="C2" s="8" t="s">
        <v>6</v>
      </c>
      <c r="D2" s="7" t="s">
        <v>7</v>
      </c>
      <c r="E2" s="9" t="s">
        <v>8</v>
      </c>
      <c r="F2" s="9" t="s">
        <v>61</v>
      </c>
      <c r="G2" s="9" t="s">
        <v>51</v>
      </c>
      <c r="H2" s="9" t="s">
        <v>50</v>
      </c>
    </row>
    <row r="3" spans="1:8" ht="23.25" customHeight="1" x14ac:dyDescent="0.25">
      <c r="A3" s="5">
        <v>1</v>
      </c>
      <c r="B3" s="19"/>
      <c r="C3" s="21"/>
      <c r="D3" s="24"/>
      <c r="E3" s="25"/>
      <c r="F3" s="51"/>
      <c r="G3" s="15"/>
      <c r="H3" s="15"/>
    </row>
    <row r="4" spans="1:8" ht="23.25" customHeight="1" x14ac:dyDescent="0.25">
      <c r="A4" s="4">
        <v>2</v>
      </c>
      <c r="B4" s="20"/>
      <c r="C4" s="22"/>
      <c r="D4" s="13"/>
      <c r="E4" s="15"/>
      <c r="F4" s="15"/>
      <c r="G4" s="15"/>
      <c r="H4" s="15"/>
    </row>
    <row r="5" spans="1:8" ht="23.25" customHeight="1" x14ac:dyDescent="0.25">
      <c r="A5" s="4">
        <v>3</v>
      </c>
      <c r="B5" s="20"/>
      <c r="C5" s="22"/>
      <c r="D5" s="13"/>
      <c r="E5" s="15"/>
      <c r="F5" s="15"/>
      <c r="G5" s="15"/>
      <c r="H5" s="15"/>
    </row>
    <row r="6" spans="1:8" ht="23.25" customHeight="1" x14ac:dyDescent="0.25">
      <c r="A6" s="4">
        <v>4</v>
      </c>
      <c r="B6" s="20"/>
      <c r="C6" s="22"/>
      <c r="D6" s="13"/>
      <c r="E6" s="15"/>
      <c r="F6" s="15"/>
      <c r="G6" s="15"/>
      <c r="H6" s="15"/>
    </row>
    <row r="7" spans="1:8" ht="23.25" customHeight="1" x14ac:dyDescent="0.25">
      <c r="A7" s="4">
        <v>5</v>
      </c>
      <c r="B7" s="20"/>
      <c r="C7" s="22"/>
      <c r="D7" s="13"/>
      <c r="E7" s="15"/>
      <c r="F7" s="15"/>
      <c r="G7" s="15"/>
      <c r="H7" s="15"/>
    </row>
    <row r="8" spans="1:8" ht="23.25" customHeight="1" x14ac:dyDescent="0.25">
      <c r="A8" s="4">
        <v>6</v>
      </c>
      <c r="B8" s="20"/>
      <c r="C8" s="22"/>
      <c r="D8" s="13"/>
      <c r="E8" s="15"/>
      <c r="F8" s="15"/>
      <c r="G8" s="15"/>
      <c r="H8" s="15"/>
    </row>
    <row r="9" spans="1:8" ht="23.25" customHeight="1" x14ac:dyDescent="0.25">
      <c r="A9" s="4">
        <v>7</v>
      </c>
      <c r="B9" s="20"/>
      <c r="C9" s="22"/>
      <c r="D9" s="13"/>
      <c r="E9" s="15"/>
      <c r="F9" s="15"/>
      <c r="G9" s="15"/>
      <c r="H9" s="15"/>
    </row>
    <row r="10" spans="1:8" ht="23.25" customHeight="1" x14ac:dyDescent="0.25">
      <c r="A10" s="4">
        <v>8</v>
      </c>
      <c r="B10" s="20"/>
      <c r="C10" s="22"/>
      <c r="D10" s="13"/>
      <c r="E10" s="15"/>
      <c r="F10" s="15"/>
      <c r="G10" s="15"/>
      <c r="H10" s="15"/>
    </row>
    <row r="11" spans="1:8" ht="23.25" customHeight="1" x14ac:dyDescent="0.25">
      <c r="A11" s="4">
        <v>9</v>
      </c>
      <c r="B11" s="18"/>
      <c r="C11" s="22"/>
      <c r="D11" s="13"/>
      <c r="E11" s="15"/>
      <c r="F11" s="15"/>
      <c r="G11" s="15"/>
      <c r="H11" s="15"/>
    </row>
    <row r="12" spans="1:8" ht="23.25" customHeight="1" x14ac:dyDescent="0.25">
      <c r="A12" s="4">
        <v>10</v>
      </c>
      <c r="B12" s="18"/>
      <c r="C12" s="22"/>
      <c r="D12" s="22"/>
      <c r="E12" s="22"/>
      <c r="F12" s="22"/>
      <c r="G12" s="15"/>
      <c r="H12" s="15"/>
    </row>
    <row r="13" spans="1:8" ht="23.25" customHeight="1" x14ac:dyDescent="0.25">
      <c r="A13" s="4">
        <v>11</v>
      </c>
      <c r="B13" s="18"/>
      <c r="C13" s="22"/>
      <c r="D13" s="22"/>
      <c r="E13" s="22"/>
      <c r="F13" s="22"/>
      <c r="G13" s="15"/>
      <c r="H13" s="15"/>
    </row>
    <row r="14" spans="1:8" ht="23.25" customHeight="1" x14ac:dyDescent="0.25">
      <c r="A14" s="4">
        <v>12</v>
      </c>
      <c r="B14" s="18"/>
      <c r="C14" s="22"/>
      <c r="D14" s="22"/>
      <c r="E14" s="22"/>
      <c r="F14" s="22"/>
      <c r="G14" s="15"/>
      <c r="H14" s="15"/>
    </row>
    <row r="15" spans="1:8" ht="23.25" customHeight="1" x14ac:dyDescent="0.25">
      <c r="A15" s="4">
        <v>13</v>
      </c>
      <c r="B15" s="18"/>
      <c r="C15" s="22"/>
      <c r="D15" s="22"/>
      <c r="E15" s="22"/>
      <c r="F15" s="22"/>
      <c r="G15" s="15"/>
      <c r="H15" s="15"/>
    </row>
    <row r="16" spans="1:8" ht="23.25" customHeight="1" x14ac:dyDescent="0.25">
      <c r="A16" s="4">
        <v>14</v>
      </c>
      <c r="B16" s="18"/>
      <c r="C16" s="22"/>
      <c r="D16" s="22"/>
      <c r="E16" s="22"/>
      <c r="F16" s="22"/>
      <c r="G16" s="15"/>
      <c r="H16" s="15"/>
    </row>
    <row r="17" spans="1:8" ht="23.25" customHeight="1" x14ac:dyDescent="0.25">
      <c r="A17" s="4">
        <v>15</v>
      </c>
      <c r="B17" s="18"/>
      <c r="C17" s="22"/>
      <c r="D17" s="22"/>
      <c r="E17" s="22"/>
      <c r="F17" s="22"/>
      <c r="G17" s="15"/>
      <c r="H17" s="15"/>
    </row>
    <row r="18" spans="1:8" ht="23.25" customHeight="1" x14ac:dyDescent="0.25">
      <c r="A18" s="4">
        <v>16</v>
      </c>
      <c r="B18" s="18"/>
      <c r="C18" s="22"/>
      <c r="D18" s="22"/>
      <c r="E18" s="22"/>
      <c r="F18" s="22"/>
      <c r="G18" s="15"/>
      <c r="H18" s="15"/>
    </row>
    <row r="19" spans="1:8" ht="23.25" customHeight="1" x14ac:dyDescent="0.25">
      <c r="A19" s="4">
        <v>17</v>
      </c>
      <c r="B19" s="18"/>
      <c r="C19" s="22"/>
      <c r="D19" s="22"/>
      <c r="E19" s="22"/>
      <c r="F19" s="22"/>
      <c r="G19" s="15"/>
      <c r="H19" s="15"/>
    </row>
    <row r="20" spans="1:8" ht="23.25" customHeight="1" x14ac:dyDescent="0.25">
      <c r="A20" s="4">
        <v>18</v>
      </c>
      <c r="B20" s="18"/>
      <c r="C20" s="22"/>
      <c r="D20" s="22"/>
      <c r="E20" s="22"/>
      <c r="F20" s="22"/>
      <c r="G20" s="15"/>
      <c r="H20" s="15"/>
    </row>
    <row r="21" spans="1:8" ht="23.25" customHeight="1" x14ac:dyDescent="0.25">
      <c r="A21" s="4">
        <v>19</v>
      </c>
      <c r="B21" s="18"/>
      <c r="C21" s="22"/>
      <c r="D21" s="22"/>
      <c r="E21" s="22"/>
      <c r="F21" s="22"/>
      <c r="G21" s="15"/>
      <c r="H21" s="15"/>
    </row>
    <row r="22" spans="1:8" ht="23.25" customHeight="1" x14ac:dyDescent="0.25">
      <c r="A22" s="4">
        <v>20</v>
      </c>
      <c r="B22" s="18"/>
      <c r="C22" s="22"/>
      <c r="D22" s="22"/>
      <c r="E22" s="22"/>
      <c r="F22" s="22"/>
      <c r="G22" s="15"/>
      <c r="H22" s="15"/>
    </row>
    <row r="23" spans="1:8" ht="23.25" customHeight="1" thickBot="1" x14ac:dyDescent="0.3">
      <c r="A23" s="4">
        <v>21</v>
      </c>
      <c r="B23" s="18"/>
      <c r="C23" s="23"/>
      <c r="D23" s="23"/>
      <c r="E23" s="23"/>
      <c r="F23" s="23"/>
      <c r="G23" s="23"/>
      <c r="H23" s="15"/>
    </row>
  </sheetData>
  <mergeCells count="2">
    <mergeCell ref="A1:C1"/>
    <mergeCell ref="D1:H1"/>
  </mergeCells>
  <phoneticPr fontId="11" type="noConversion"/>
  <pageMargins left="0.35433070866141736" right="0.27559055118110237" top="1.299212598425197" bottom="0.62992125984251968" header="0.27559055118110237" footer="0.27559055118110237"/>
  <pageSetup paperSize="8"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12.0 
Issue Date: 11/02/2014&amp;R&amp;8Page &amp;P of &amp;N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B2:AJ105"/>
  <sheetViews>
    <sheetView topLeftCell="L1" zoomScale="70" zoomScaleNormal="70" workbookViewId="0">
      <selection activeCell="X40" sqref="X40"/>
    </sheetView>
  </sheetViews>
  <sheetFormatPr defaultColWidth="9.109375" defaultRowHeight="13.2" x14ac:dyDescent="0.25"/>
  <cols>
    <col min="1" max="26" width="9.109375" style="12"/>
    <col min="27" max="33" width="11.33203125" style="12" customWidth="1"/>
    <col min="34" max="16384" width="9.109375" style="12"/>
  </cols>
  <sheetData>
    <row r="2" spans="2:36" x14ac:dyDescent="0.25">
      <c r="B2" s="290"/>
      <c r="C2" s="291"/>
      <c r="D2" s="291"/>
      <c r="E2" s="291"/>
      <c r="F2" s="291"/>
      <c r="G2" s="291"/>
      <c r="H2" s="291"/>
      <c r="I2" s="291"/>
      <c r="J2" s="291"/>
      <c r="K2" s="291"/>
      <c r="L2" s="291"/>
      <c r="M2" s="291"/>
      <c r="N2" s="291"/>
      <c r="O2" s="291"/>
      <c r="P2" s="291"/>
      <c r="Q2" s="291"/>
      <c r="R2" s="291"/>
      <c r="S2" s="291"/>
      <c r="T2" s="291"/>
      <c r="U2" s="291"/>
      <c r="V2" s="291"/>
    </row>
    <row r="3" spans="2:36" x14ac:dyDescent="0.25">
      <c r="B3" s="291"/>
      <c r="C3" s="291"/>
      <c r="D3" s="291"/>
      <c r="E3" s="291"/>
      <c r="F3" s="291"/>
      <c r="G3" s="291"/>
      <c r="H3" s="291"/>
      <c r="I3" s="291"/>
      <c r="J3" s="291"/>
      <c r="K3" s="291"/>
      <c r="L3" s="291"/>
      <c r="M3" s="291"/>
      <c r="N3" s="291"/>
      <c r="O3" s="291"/>
      <c r="P3" s="291"/>
      <c r="Q3" s="291"/>
      <c r="R3" s="291"/>
      <c r="S3" s="291"/>
      <c r="T3" s="291"/>
      <c r="U3" s="291"/>
      <c r="V3" s="291"/>
      <c r="W3" s="136"/>
      <c r="X3" s="136"/>
      <c r="Y3" s="136"/>
      <c r="Z3" s="136"/>
      <c r="AA3" s="136"/>
      <c r="AB3" s="136"/>
      <c r="AC3" s="136"/>
      <c r="AD3" s="136"/>
      <c r="AE3" s="136"/>
      <c r="AF3" s="136"/>
      <c r="AG3" s="136"/>
      <c r="AH3" s="136"/>
      <c r="AI3" s="136"/>
      <c r="AJ3" s="136"/>
    </row>
    <row r="4" spans="2:36" ht="18" customHeight="1" x14ac:dyDescent="0.25">
      <c r="B4" s="291"/>
      <c r="C4" s="291"/>
      <c r="D4" s="291"/>
      <c r="E4" s="291"/>
      <c r="F4" s="291"/>
      <c r="G4" s="291"/>
      <c r="H4" s="291"/>
      <c r="I4" s="291"/>
      <c r="J4" s="291"/>
      <c r="K4" s="291"/>
      <c r="L4" s="291"/>
      <c r="M4" s="291"/>
      <c r="N4" s="291"/>
      <c r="O4" s="291"/>
      <c r="P4" s="291"/>
      <c r="Q4" s="291"/>
      <c r="R4" s="291"/>
      <c r="S4" s="291"/>
      <c r="T4" s="291"/>
      <c r="U4" s="291"/>
      <c r="V4" s="291"/>
      <c r="W4" s="136"/>
      <c r="X4" s="136"/>
      <c r="Y4" s="136"/>
      <c r="Z4" s="136"/>
      <c r="AA4" s="136"/>
      <c r="AB4" s="136"/>
      <c r="AC4" s="136"/>
      <c r="AD4" s="136"/>
      <c r="AE4" s="136"/>
      <c r="AF4" s="136"/>
      <c r="AG4" s="136"/>
      <c r="AH4" s="136"/>
      <c r="AI4" s="136"/>
      <c r="AJ4" s="136"/>
    </row>
    <row r="5" spans="2:36" ht="20.25" customHeight="1" x14ac:dyDescent="0.4">
      <c r="B5" s="291"/>
      <c r="C5" s="291"/>
      <c r="D5" s="291"/>
      <c r="E5" s="291"/>
      <c r="F5" s="291"/>
      <c r="G5" s="291"/>
      <c r="H5" s="291"/>
      <c r="I5" s="291"/>
      <c r="J5" s="291"/>
      <c r="K5" s="291"/>
      <c r="L5" s="291"/>
      <c r="M5" s="291"/>
      <c r="N5" s="291"/>
      <c r="O5" s="291"/>
      <c r="P5" s="291"/>
      <c r="Q5" s="291"/>
      <c r="R5" s="291"/>
      <c r="S5" s="291"/>
      <c r="T5" s="291"/>
      <c r="U5" s="291"/>
      <c r="V5" s="291"/>
      <c r="W5" s="136"/>
      <c r="X5" s="136"/>
      <c r="Y5" s="136"/>
      <c r="Z5" s="136"/>
      <c r="AA5" s="135" t="s">
        <v>122</v>
      </c>
      <c r="AB5" s="136"/>
      <c r="AC5" s="136"/>
      <c r="AD5" s="136"/>
      <c r="AE5" s="136"/>
      <c r="AF5" s="136"/>
      <c r="AG5" s="136"/>
      <c r="AH5" s="136"/>
      <c r="AI5" s="136"/>
      <c r="AJ5" s="136"/>
    </row>
    <row r="6" spans="2:36" x14ac:dyDescent="0.25">
      <c r="B6" s="291"/>
      <c r="C6" s="291"/>
      <c r="D6" s="291"/>
      <c r="E6" s="291"/>
      <c r="F6" s="291"/>
      <c r="G6" s="291"/>
      <c r="H6" s="291"/>
      <c r="I6" s="291"/>
      <c r="J6" s="291"/>
      <c r="K6" s="291"/>
      <c r="L6" s="291"/>
      <c r="M6" s="291"/>
      <c r="N6" s="291"/>
      <c r="O6" s="291"/>
      <c r="P6" s="291"/>
      <c r="Q6" s="291"/>
      <c r="R6" s="291"/>
      <c r="S6" s="291"/>
      <c r="T6" s="291"/>
      <c r="U6" s="291"/>
      <c r="V6" s="291"/>
      <c r="W6" s="136"/>
      <c r="X6" s="136"/>
      <c r="Y6" s="136"/>
      <c r="Z6" s="136"/>
      <c r="AA6" s="136"/>
      <c r="AB6" s="136"/>
      <c r="AC6" s="136"/>
      <c r="AD6" s="136"/>
      <c r="AE6" s="136"/>
      <c r="AF6" s="136"/>
      <c r="AG6" s="136"/>
      <c r="AH6" s="136"/>
      <c r="AI6" s="136"/>
      <c r="AJ6" s="136"/>
    </row>
    <row r="7" spans="2:36" x14ac:dyDescent="0.25">
      <c r="B7" s="291"/>
      <c r="C7" s="291"/>
      <c r="D7" s="291"/>
      <c r="E7" s="291"/>
      <c r="F7" s="291"/>
      <c r="G7" s="291"/>
      <c r="H7" s="291"/>
      <c r="I7" s="291"/>
      <c r="J7" s="291"/>
      <c r="K7" s="291"/>
      <c r="L7" s="291"/>
      <c r="M7" s="291"/>
      <c r="N7" s="291"/>
      <c r="O7" s="291"/>
      <c r="P7" s="291"/>
      <c r="Q7" s="291"/>
      <c r="R7" s="291"/>
      <c r="S7" s="291"/>
      <c r="T7" s="291"/>
      <c r="U7" s="291"/>
      <c r="V7" s="291"/>
      <c r="W7" s="136"/>
      <c r="X7" s="136"/>
      <c r="Y7" s="136"/>
      <c r="Z7" s="136"/>
      <c r="AA7" s="136"/>
      <c r="AB7" s="136"/>
      <c r="AC7" s="136"/>
      <c r="AD7" s="136"/>
      <c r="AE7" s="136"/>
      <c r="AF7" s="136"/>
      <c r="AG7" s="136"/>
      <c r="AH7" s="136"/>
      <c r="AI7" s="136"/>
      <c r="AJ7" s="136"/>
    </row>
    <row r="8" spans="2:36" x14ac:dyDescent="0.25">
      <c r="B8" s="291"/>
      <c r="C8" s="291"/>
      <c r="D8" s="291"/>
      <c r="E8" s="291"/>
      <c r="F8" s="291"/>
      <c r="G8" s="291"/>
      <c r="H8" s="291"/>
      <c r="I8" s="291"/>
      <c r="J8" s="291"/>
      <c r="K8" s="291"/>
      <c r="L8" s="291"/>
      <c r="M8" s="291"/>
      <c r="N8" s="291"/>
      <c r="O8" s="291"/>
      <c r="P8" s="291"/>
      <c r="Q8" s="291"/>
      <c r="R8" s="291"/>
      <c r="S8" s="291"/>
      <c r="T8" s="291"/>
      <c r="U8" s="291"/>
      <c r="V8" s="291"/>
      <c r="W8" s="136"/>
      <c r="X8" s="136"/>
      <c r="Y8" s="136"/>
      <c r="Z8" s="136"/>
      <c r="AA8" s="136"/>
      <c r="AB8" s="136"/>
      <c r="AC8" s="136"/>
      <c r="AD8" s="136"/>
      <c r="AE8" s="136"/>
      <c r="AF8" s="136"/>
      <c r="AG8" s="136"/>
      <c r="AH8" s="136"/>
      <c r="AI8" s="136"/>
      <c r="AJ8" s="136"/>
    </row>
    <row r="9" spans="2:36" x14ac:dyDescent="0.25">
      <c r="B9" s="291"/>
      <c r="C9" s="291"/>
      <c r="D9" s="291"/>
      <c r="E9" s="291"/>
      <c r="F9" s="291"/>
      <c r="G9" s="291"/>
      <c r="H9" s="291"/>
      <c r="I9" s="291"/>
      <c r="J9" s="291"/>
      <c r="K9" s="291"/>
      <c r="L9" s="291"/>
      <c r="M9" s="291"/>
      <c r="N9" s="291"/>
      <c r="O9" s="291"/>
      <c r="P9" s="291"/>
      <c r="Q9" s="291"/>
      <c r="R9" s="291"/>
      <c r="S9" s="291"/>
      <c r="T9" s="291"/>
      <c r="U9" s="291"/>
      <c r="V9" s="291"/>
      <c r="W9" s="136"/>
      <c r="X9" s="136"/>
      <c r="Y9" s="136"/>
      <c r="Z9" s="136"/>
      <c r="AA9" s="136"/>
      <c r="AB9" s="136"/>
      <c r="AC9" s="136"/>
      <c r="AD9" s="136"/>
      <c r="AE9" s="136"/>
      <c r="AF9" s="136"/>
      <c r="AG9" s="136"/>
      <c r="AH9" s="136"/>
      <c r="AI9" s="136"/>
      <c r="AJ9" s="136"/>
    </row>
    <row r="10" spans="2:36" x14ac:dyDescent="0.25">
      <c r="B10" s="291"/>
      <c r="C10" s="291"/>
      <c r="D10" s="291"/>
      <c r="E10" s="291"/>
      <c r="F10" s="291"/>
      <c r="G10" s="291"/>
      <c r="H10" s="291"/>
      <c r="I10" s="291"/>
      <c r="J10" s="291"/>
      <c r="K10" s="291"/>
      <c r="L10" s="291"/>
      <c r="M10" s="291"/>
      <c r="N10" s="291"/>
      <c r="O10" s="291"/>
      <c r="P10" s="291"/>
      <c r="Q10" s="291"/>
      <c r="R10" s="291"/>
      <c r="S10" s="291"/>
      <c r="T10" s="291"/>
      <c r="U10" s="291"/>
      <c r="V10" s="291"/>
      <c r="W10" s="136"/>
      <c r="X10" s="136"/>
      <c r="Y10" s="136"/>
      <c r="Z10" s="136"/>
      <c r="AA10" s="136"/>
      <c r="AB10" s="136"/>
      <c r="AC10" s="136"/>
      <c r="AD10" s="136"/>
      <c r="AE10" s="136"/>
      <c r="AF10" s="136"/>
      <c r="AG10" s="136"/>
      <c r="AH10" s="136"/>
      <c r="AI10" s="136"/>
      <c r="AJ10" s="136"/>
    </row>
    <row r="11" spans="2:36" x14ac:dyDescent="0.25">
      <c r="B11" s="291"/>
      <c r="C11" s="291"/>
      <c r="D11" s="291"/>
      <c r="E11" s="291"/>
      <c r="F11" s="291"/>
      <c r="G11" s="291"/>
      <c r="H11" s="291"/>
      <c r="I11" s="291"/>
      <c r="J11" s="291"/>
      <c r="K11" s="291"/>
      <c r="L11" s="291"/>
      <c r="M11" s="291"/>
      <c r="N11" s="291"/>
      <c r="O11" s="291"/>
      <c r="P11" s="291"/>
      <c r="Q11" s="291"/>
      <c r="R11" s="291"/>
      <c r="S11" s="291"/>
      <c r="T11" s="291"/>
      <c r="U11" s="291"/>
      <c r="V11" s="291"/>
      <c r="W11" s="136"/>
      <c r="X11" s="136"/>
      <c r="Y11" s="136"/>
      <c r="Z11" s="136"/>
      <c r="AA11" s="136"/>
      <c r="AB11" s="136"/>
      <c r="AC11" s="136"/>
      <c r="AD11" s="136"/>
      <c r="AE11" s="136"/>
      <c r="AF11" s="136"/>
      <c r="AG11" s="136"/>
      <c r="AH11" s="136"/>
      <c r="AI11" s="136"/>
      <c r="AJ11" s="136"/>
    </row>
    <row r="12" spans="2:36" x14ac:dyDescent="0.25">
      <c r="B12" s="291"/>
      <c r="C12" s="291"/>
      <c r="D12" s="291"/>
      <c r="E12" s="291"/>
      <c r="F12" s="291"/>
      <c r="G12" s="291"/>
      <c r="H12" s="291"/>
      <c r="I12" s="291"/>
      <c r="J12" s="291"/>
      <c r="K12" s="291"/>
      <c r="L12" s="291"/>
      <c r="M12" s="291"/>
      <c r="N12" s="291"/>
      <c r="O12" s="291"/>
      <c r="P12" s="291"/>
      <c r="Q12" s="291"/>
      <c r="R12" s="291"/>
      <c r="S12" s="291"/>
      <c r="T12" s="291"/>
      <c r="U12" s="291"/>
      <c r="V12" s="291"/>
      <c r="W12" s="136"/>
      <c r="X12" s="136"/>
      <c r="Y12" s="136"/>
      <c r="Z12" s="136"/>
      <c r="AA12" s="136"/>
      <c r="AB12" s="136"/>
      <c r="AC12" s="136"/>
      <c r="AD12" s="136"/>
      <c r="AE12" s="136"/>
      <c r="AF12" s="136"/>
      <c r="AG12" s="136"/>
      <c r="AH12" s="136"/>
      <c r="AI12" s="136"/>
      <c r="AJ12" s="136"/>
    </row>
    <row r="13" spans="2:36" x14ac:dyDescent="0.25">
      <c r="B13" s="291"/>
      <c r="C13" s="291"/>
      <c r="D13" s="291"/>
      <c r="E13" s="291"/>
      <c r="F13" s="291"/>
      <c r="G13" s="291"/>
      <c r="H13" s="291"/>
      <c r="I13" s="291"/>
      <c r="J13" s="291"/>
      <c r="K13" s="291"/>
      <c r="L13" s="291"/>
      <c r="M13" s="291"/>
      <c r="N13" s="291"/>
      <c r="O13" s="291"/>
      <c r="P13" s="291"/>
      <c r="Q13" s="291"/>
      <c r="R13" s="291"/>
      <c r="S13" s="291"/>
      <c r="T13" s="291"/>
      <c r="U13" s="291"/>
      <c r="V13" s="291"/>
      <c r="W13" s="136"/>
      <c r="X13" s="136"/>
      <c r="Y13" s="136"/>
      <c r="Z13" s="136"/>
      <c r="AA13" s="136"/>
      <c r="AB13" s="136"/>
      <c r="AC13" s="136"/>
      <c r="AD13" s="136"/>
      <c r="AE13" s="136"/>
      <c r="AF13" s="136"/>
      <c r="AG13" s="136"/>
      <c r="AH13" s="136"/>
      <c r="AI13" s="136"/>
      <c r="AJ13" s="136"/>
    </row>
    <row r="14" spans="2:36" x14ac:dyDescent="0.25">
      <c r="B14" s="291"/>
      <c r="C14" s="291"/>
      <c r="D14" s="291"/>
      <c r="E14" s="291"/>
      <c r="F14" s="291"/>
      <c r="G14" s="291"/>
      <c r="H14" s="291"/>
      <c r="I14" s="291"/>
      <c r="J14" s="291"/>
      <c r="K14" s="291"/>
      <c r="L14" s="291"/>
      <c r="M14" s="291"/>
      <c r="N14" s="291"/>
      <c r="O14" s="291"/>
      <c r="P14" s="291"/>
      <c r="Q14" s="291"/>
      <c r="R14" s="291"/>
      <c r="S14" s="291"/>
      <c r="T14" s="291"/>
      <c r="U14" s="291"/>
      <c r="V14" s="291"/>
      <c r="W14" s="136"/>
      <c r="X14" s="136"/>
      <c r="Y14" s="136"/>
      <c r="Z14" s="136"/>
      <c r="AA14" s="136"/>
      <c r="AB14" s="136"/>
      <c r="AC14" s="136"/>
      <c r="AD14" s="136"/>
      <c r="AE14" s="136"/>
      <c r="AF14" s="136"/>
      <c r="AG14" s="136"/>
      <c r="AH14" s="136"/>
      <c r="AI14" s="136"/>
      <c r="AJ14" s="136"/>
    </row>
    <row r="15" spans="2:36" x14ac:dyDescent="0.25">
      <c r="B15" s="291"/>
      <c r="C15" s="291"/>
      <c r="D15" s="291"/>
      <c r="E15" s="291"/>
      <c r="F15" s="291"/>
      <c r="G15" s="291"/>
      <c r="H15" s="291"/>
      <c r="I15" s="291"/>
      <c r="J15" s="291"/>
      <c r="K15" s="291"/>
      <c r="L15" s="291"/>
      <c r="M15" s="291"/>
      <c r="N15" s="291"/>
      <c r="O15" s="291"/>
      <c r="P15" s="291"/>
      <c r="Q15" s="291"/>
      <c r="R15" s="291"/>
      <c r="S15" s="291"/>
      <c r="T15" s="291"/>
      <c r="U15" s="291"/>
      <c r="V15" s="291"/>
      <c r="W15" s="136"/>
      <c r="X15" s="136"/>
      <c r="Y15" s="136"/>
      <c r="Z15" s="136"/>
      <c r="AA15" s="136"/>
      <c r="AB15" s="136"/>
      <c r="AC15" s="136"/>
      <c r="AD15" s="136"/>
      <c r="AE15" s="136"/>
      <c r="AF15" s="136"/>
      <c r="AG15" s="136"/>
      <c r="AH15" s="136"/>
      <c r="AI15" s="136"/>
      <c r="AJ15" s="136"/>
    </row>
    <row r="16" spans="2:36" x14ac:dyDescent="0.25">
      <c r="B16" s="291"/>
      <c r="C16" s="291"/>
      <c r="D16" s="291"/>
      <c r="E16" s="291"/>
      <c r="F16" s="291"/>
      <c r="G16" s="291"/>
      <c r="H16" s="291"/>
      <c r="I16" s="291"/>
      <c r="J16" s="291"/>
      <c r="K16" s="291"/>
      <c r="L16" s="291"/>
      <c r="M16" s="291"/>
      <c r="N16" s="291"/>
      <c r="O16" s="291"/>
      <c r="P16" s="291"/>
      <c r="Q16" s="291"/>
      <c r="R16" s="291"/>
      <c r="S16" s="291"/>
      <c r="T16" s="291"/>
      <c r="U16" s="291"/>
      <c r="V16" s="291"/>
      <c r="W16" s="136"/>
      <c r="X16" s="136"/>
      <c r="Y16" s="136"/>
      <c r="Z16" s="136"/>
      <c r="AA16" s="136"/>
      <c r="AB16" s="136"/>
      <c r="AC16" s="136"/>
      <c r="AD16" s="136"/>
      <c r="AE16" s="136"/>
      <c r="AF16" s="136"/>
      <c r="AG16" s="136"/>
      <c r="AH16" s="136"/>
      <c r="AI16" s="136"/>
      <c r="AJ16" s="136"/>
    </row>
    <row r="17" spans="2:36" x14ac:dyDescent="0.25">
      <c r="B17" s="291"/>
      <c r="C17" s="291"/>
      <c r="D17" s="291"/>
      <c r="E17" s="291"/>
      <c r="F17" s="291"/>
      <c r="G17" s="291"/>
      <c r="H17" s="291"/>
      <c r="I17" s="291"/>
      <c r="J17" s="291"/>
      <c r="K17" s="291"/>
      <c r="L17" s="291"/>
      <c r="M17" s="291"/>
      <c r="N17" s="291"/>
      <c r="O17" s="291"/>
      <c r="P17" s="291"/>
      <c r="Q17" s="291"/>
      <c r="R17" s="291"/>
      <c r="S17" s="291"/>
      <c r="T17" s="291"/>
      <c r="U17" s="291"/>
      <c r="V17" s="291"/>
      <c r="W17" s="136"/>
      <c r="X17" s="136"/>
      <c r="Y17" s="136"/>
      <c r="Z17" s="136"/>
      <c r="AA17" s="136"/>
      <c r="AB17" s="136"/>
      <c r="AC17" s="136"/>
      <c r="AD17" s="136"/>
      <c r="AE17" s="136"/>
      <c r="AF17" s="136"/>
      <c r="AG17" s="136"/>
      <c r="AH17" s="136"/>
      <c r="AI17" s="136"/>
      <c r="AJ17" s="136"/>
    </row>
    <row r="18" spans="2:36" x14ac:dyDescent="0.25">
      <c r="B18" s="291"/>
      <c r="C18" s="291"/>
      <c r="D18" s="291"/>
      <c r="E18" s="291"/>
      <c r="F18" s="291"/>
      <c r="G18" s="291"/>
      <c r="H18" s="291"/>
      <c r="I18" s="291"/>
      <c r="J18" s="291"/>
      <c r="K18" s="291"/>
      <c r="L18" s="291"/>
      <c r="M18" s="291"/>
      <c r="N18" s="291"/>
      <c r="O18" s="291"/>
      <c r="P18" s="291"/>
      <c r="Q18" s="291"/>
      <c r="R18" s="291"/>
      <c r="S18" s="291"/>
      <c r="T18" s="291"/>
      <c r="U18" s="291"/>
      <c r="V18" s="291"/>
      <c r="W18" s="136"/>
      <c r="X18" s="136"/>
      <c r="Y18" s="136"/>
      <c r="Z18" s="136"/>
      <c r="AA18" s="136"/>
      <c r="AB18" s="136"/>
      <c r="AC18" s="136"/>
      <c r="AD18" s="136"/>
      <c r="AE18" s="136"/>
      <c r="AF18" s="136"/>
      <c r="AG18" s="136"/>
      <c r="AH18" s="136"/>
      <c r="AI18" s="136"/>
      <c r="AJ18" s="136"/>
    </row>
    <row r="19" spans="2:36" x14ac:dyDescent="0.25">
      <c r="B19" s="291"/>
      <c r="C19" s="291"/>
      <c r="D19" s="291"/>
      <c r="E19" s="291"/>
      <c r="F19" s="291"/>
      <c r="G19" s="291"/>
      <c r="H19" s="291"/>
      <c r="I19" s="291"/>
      <c r="J19" s="291"/>
      <c r="K19" s="291"/>
      <c r="L19" s="291"/>
      <c r="M19" s="291"/>
      <c r="N19" s="291"/>
      <c r="O19" s="291"/>
      <c r="P19" s="291"/>
      <c r="Q19" s="291"/>
      <c r="R19" s="291"/>
      <c r="S19" s="291"/>
      <c r="T19" s="291"/>
      <c r="U19" s="291"/>
      <c r="V19" s="291"/>
      <c r="W19" s="136"/>
      <c r="X19" s="136"/>
      <c r="Y19" s="136"/>
      <c r="Z19" s="136"/>
      <c r="AA19" s="136"/>
      <c r="AB19" s="136"/>
      <c r="AC19" s="136"/>
      <c r="AD19" s="136"/>
      <c r="AE19" s="136"/>
      <c r="AF19" s="136"/>
      <c r="AG19" s="136"/>
      <c r="AH19" s="136"/>
      <c r="AI19" s="136"/>
      <c r="AJ19" s="136"/>
    </row>
    <row r="20" spans="2:36" x14ac:dyDescent="0.25">
      <c r="B20" s="291"/>
      <c r="C20" s="291"/>
      <c r="D20" s="291"/>
      <c r="E20" s="291"/>
      <c r="F20" s="291"/>
      <c r="G20" s="291"/>
      <c r="H20" s="291"/>
      <c r="I20" s="291"/>
      <c r="J20" s="291"/>
      <c r="K20" s="291"/>
      <c r="L20" s="291"/>
      <c r="M20" s="291"/>
      <c r="N20" s="291"/>
      <c r="O20" s="291"/>
      <c r="P20" s="291"/>
      <c r="Q20" s="291"/>
      <c r="R20" s="291"/>
      <c r="S20" s="291"/>
      <c r="T20" s="291"/>
      <c r="U20" s="291"/>
      <c r="V20" s="291"/>
      <c r="W20" s="136"/>
      <c r="X20" s="136"/>
      <c r="Y20" s="136"/>
      <c r="Z20" s="136"/>
      <c r="AA20" s="136"/>
      <c r="AB20" s="136"/>
      <c r="AC20" s="136"/>
      <c r="AD20" s="136"/>
      <c r="AE20" s="136"/>
      <c r="AF20" s="136"/>
      <c r="AG20" s="136"/>
      <c r="AH20" s="136"/>
      <c r="AI20" s="136"/>
      <c r="AJ20" s="136"/>
    </row>
    <row r="21" spans="2:36" x14ac:dyDescent="0.25">
      <c r="B21" s="291"/>
      <c r="C21" s="291"/>
      <c r="D21" s="291"/>
      <c r="E21" s="291"/>
      <c r="F21" s="291"/>
      <c r="G21" s="291"/>
      <c r="H21" s="291"/>
      <c r="I21" s="291"/>
      <c r="J21" s="291"/>
      <c r="K21" s="291"/>
      <c r="L21" s="291"/>
      <c r="M21" s="291"/>
      <c r="N21" s="291"/>
      <c r="O21" s="291"/>
      <c r="P21" s="291"/>
      <c r="Q21" s="291"/>
      <c r="R21" s="291"/>
      <c r="S21" s="291"/>
      <c r="T21" s="291"/>
      <c r="U21" s="291"/>
      <c r="V21" s="291"/>
      <c r="W21" s="136"/>
      <c r="X21" s="136"/>
      <c r="Y21" s="136"/>
      <c r="Z21" s="136"/>
      <c r="AA21" s="136"/>
      <c r="AB21" s="136"/>
      <c r="AC21" s="136"/>
      <c r="AD21" s="136"/>
      <c r="AE21" s="136"/>
      <c r="AF21" s="136"/>
      <c r="AG21" s="136"/>
      <c r="AH21" s="136"/>
      <c r="AI21" s="136"/>
      <c r="AJ21" s="136"/>
    </row>
    <row r="22" spans="2:36" x14ac:dyDescent="0.25">
      <c r="B22" s="291"/>
      <c r="C22" s="291"/>
      <c r="D22" s="291"/>
      <c r="E22" s="291"/>
      <c r="F22" s="291"/>
      <c r="G22" s="291"/>
      <c r="H22" s="291"/>
      <c r="I22" s="291"/>
      <c r="J22" s="291"/>
      <c r="K22" s="291"/>
      <c r="L22" s="291"/>
      <c r="M22" s="291"/>
      <c r="N22" s="291"/>
      <c r="O22" s="291"/>
      <c r="P22" s="291"/>
      <c r="Q22" s="291"/>
      <c r="R22" s="291"/>
      <c r="S22" s="291"/>
      <c r="T22" s="291"/>
      <c r="U22" s="291"/>
      <c r="V22" s="291"/>
      <c r="W22" s="136"/>
      <c r="X22" s="136"/>
      <c r="Y22" s="136"/>
      <c r="Z22" s="136"/>
      <c r="AA22" s="136"/>
      <c r="AB22" s="136"/>
      <c r="AC22" s="136"/>
      <c r="AD22" s="136"/>
      <c r="AE22" s="136"/>
      <c r="AF22" s="136"/>
      <c r="AG22" s="136"/>
      <c r="AH22" s="136"/>
      <c r="AI22" s="136"/>
      <c r="AJ22" s="136"/>
    </row>
    <row r="23" spans="2:36" x14ac:dyDescent="0.25">
      <c r="B23" s="291"/>
      <c r="C23" s="291"/>
      <c r="D23" s="291"/>
      <c r="E23" s="291"/>
      <c r="F23" s="291"/>
      <c r="G23" s="291"/>
      <c r="H23" s="291"/>
      <c r="I23" s="291"/>
      <c r="J23" s="291"/>
      <c r="K23" s="291"/>
      <c r="L23" s="291"/>
      <c r="M23" s="291"/>
      <c r="N23" s="291"/>
      <c r="O23" s="291"/>
      <c r="P23" s="291"/>
      <c r="Q23" s="291"/>
      <c r="R23" s="291"/>
      <c r="S23" s="291"/>
      <c r="T23" s="291"/>
      <c r="U23" s="291"/>
      <c r="V23" s="291"/>
      <c r="W23" s="136"/>
      <c r="X23" s="136"/>
      <c r="Y23" s="136"/>
      <c r="Z23" s="136"/>
      <c r="AA23" s="136"/>
      <c r="AB23" s="136"/>
      <c r="AC23" s="136"/>
      <c r="AD23" s="136"/>
      <c r="AE23" s="136"/>
      <c r="AF23" s="136"/>
      <c r="AG23" s="136"/>
      <c r="AH23" s="136"/>
      <c r="AI23" s="136"/>
      <c r="AJ23" s="136"/>
    </row>
    <row r="24" spans="2:36" x14ac:dyDescent="0.25">
      <c r="B24" s="291"/>
      <c r="C24" s="291"/>
      <c r="D24" s="291"/>
      <c r="E24" s="291"/>
      <c r="F24" s="291"/>
      <c r="G24" s="291"/>
      <c r="H24" s="291"/>
      <c r="I24" s="291"/>
      <c r="J24" s="291"/>
      <c r="K24" s="291"/>
      <c r="L24" s="291"/>
      <c r="M24" s="291"/>
      <c r="N24" s="291"/>
      <c r="O24" s="291"/>
      <c r="P24" s="291"/>
      <c r="Q24" s="291"/>
      <c r="R24" s="291"/>
      <c r="S24" s="291"/>
      <c r="T24" s="291"/>
      <c r="U24" s="291"/>
      <c r="V24" s="291"/>
      <c r="W24" s="136"/>
      <c r="X24" s="136"/>
      <c r="Y24" s="136"/>
      <c r="Z24" s="136"/>
      <c r="AA24" s="136"/>
      <c r="AB24" s="136"/>
      <c r="AC24" s="136"/>
      <c r="AD24" s="136"/>
      <c r="AE24" s="136"/>
      <c r="AF24" s="136"/>
      <c r="AG24" s="136"/>
      <c r="AH24" s="136"/>
      <c r="AI24" s="136"/>
      <c r="AJ24" s="136"/>
    </row>
    <row r="25" spans="2:36" x14ac:dyDescent="0.25">
      <c r="B25" s="291"/>
      <c r="C25" s="291"/>
      <c r="D25" s="291"/>
      <c r="E25" s="291"/>
      <c r="F25" s="291"/>
      <c r="G25" s="291"/>
      <c r="H25" s="291"/>
      <c r="I25" s="291"/>
      <c r="J25" s="291"/>
      <c r="K25" s="291"/>
      <c r="L25" s="291"/>
      <c r="M25" s="291"/>
      <c r="N25" s="291"/>
      <c r="O25" s="291"/>
      <c r="P25" s="291"/>
      <c r="Q25" s="291"/>
      <c r="R25" s="291"/>
      <c r="S25" s="291"/>
      <c r="T25" s="291"/>
      <c r="U25" s="291"/>
      <c r="V25" s="291"/>
      <c r="W25" s="136"/>
      <c r="X25" s="136"/>
      <c r="Y25" s="136"/>
      <c r="Z25" s="136"/>
      <c r="AA25" s="136"/>
      <c r="AB25" s="136"/>
      <c r="AC25" s="136"/>
      <c r="AD25" s="136"/>
      <c r="AE25" s="136"/>
      <c r="AF25" s="136"/>
      <c r="AG25" s="136"/>
      <c r="AH25" s="136"/>
      <c r="AI25" s="136"/>
      <c r="AJ25" s="136"/>
    </row>
    <row r="26" spans="2:36" x14ac:dyDescent="0.25">
      <c r="B26" s="291"/>
      <c r="C26" s="291"/>
      <c r="D26" s="291"/>
      <c r="E26" s="291"/>
      <c r="F26" s="291"/>
      <c r="G26" s="291"/>
      <c r="H26" s="291"/>
      <c r="I26" s="291"/>
      <c r="J26" s="291"/>
      <c r="K26" s="291"/>
      <c r="L26" s="291"/>
      <c r="M26" s="291"/>
      <c r="N26" s="291"/>
      <c r="O26" s="291"/>
      <c r="P26" s="291"/>
      <c r="Q26" s="291"/>
      <c r="R26" s="291"/>
      <c r="S26" s="291"/>
      <c r="T26" s="291"/>
      <c r="U26" s="291"/>
      <c r="V26" s="291"/>
      <c r="W26" s="136"/>
      <c r="X26" s="136"/>
      <c r="Y26" s="136"/>
      <c r="Z26" s="136"/>
      <c r="AA26" s="136"/>
      <c r="AB26" s="136"/>
      <c r="AC26" s="136"/>
      <c r="AD26" s="136"/>
      <c r="AE26" s="136"/>
      <c r="AF26" s="136"/>
      <c r="AG26" s="136"/>
      <c r="AH26" s="136"/>
      <c r="AI26" s="136"/>
      <c r="AJ26" s="136"/>
    </row>
    <row r="27" spans="2:36" ht="12.75" customHeight="1" x14ac:dyDescent="0.25">
      <c r="B27" s="291"/>
      <c r="C27" s="291"/>
      <c r="D27" s="291"/>
      <c r="E27" s="291"/>
      <c r="F27" s="291"/>
      <c r="G27" s="291"/>
      <c r="H27" s="291"/>
      <c r="I27" s="291"/>
      <c r="J27" s="291"/>
      <c r="K27" s="291"/>
      <c r="L27" s="291"/>
      <c r="M27" s="291"/>
      <c r="N27" s="291"/>
      <c r="O27" s="291"/>
      <c r="P27" s="291"/>
      <c r="Q27" s="291"/>
      <c r="R27" s="291"/>
      <c r="S27" s="291"/>
      <c r="T27" s="291"/>
      <c r="U27" s="291"/>
      <c r="V27" s="291"/>
      <c r="W27" s="136"/>
      <c r="X27" s="136"/>
      <c r="Y27" s="136"/>
      <c r="Z27" s="136"/>
      <c r="AA27" s="136"/>
      <c r="AB27" s="136"/>
      <c r="AC27" s="136"/>
      <c r="AD27" s="136"/>
      <c r="AE27" s="136"/>
      <c r="AF27" s="136"/>
      <c r="AG27" s="136"/>
      <c r="AH27" s="136"/>
      <c r="AI27" s="136"/>
      <c r="AJ27" s="136"/>
    </row>
    <row r="28" spans="2:36" ht="21" x14ac:dyDescent="0.4">
      <c r="B28" s="291"/>
      <c r="C28" s="291"/>
      <c r="D28" s="291"/>
      <c r="E28" s="291"/>
      <c r="F28" s="291"/>
      <c r="G28" s="291"/>
      <c r="H28" s="291"/>
      <c r="I28" s="291"/>
      <c r="J28" s="291"/>
      <c r="K28" s="291"/>
      <c r="L28" s="291"/>
      <c r="M28" s="291"/>
      <c r="N28" s="291"/>
      <c r="O28" s="291"/>
      <c r="P28" s="291"/>
      <c r="Q28" s="291"/>
      <c r="R28" s="291"/>
      <c r="S28" s="291"/>
      <c r="T28" s="291"/>
      <c r="U28" s="291"/>
      <c r="V28" s="291"/>
      <c r="W28" s="136"/>
      <c r="X28" s="136"/>
      <c r="Y28" s="136"/>
      <c r="Z28" s="136"/>
      <c r="AA28" s="136"/>
      <c r="AB28" s="137"/>
      <c r="AC28" s="136"/>
      <c r="AD28" s="136"/>
      <c r="AE28" s="136"/>
      <c r="AF28" s="136"/>
      <c r="AG28" s="136"/>
      <c r="AH28" s="136"/>
      <c r="AI28" s="136"/>
      <c r="AJ28" s="136"/>
    </row>
    <row r="29" spans="2:36" x14ac:dyDescent="0.25">
      <c r="B29" s="291"/>
      <c r="C29" s="291"/>
      <c r="D29" s="291"/>
      <c r="E29" s="291"/>
      <c r="F29" s="291"/>
      <c r="G29" s="291"/>
      <c r="H29" s="291"/>
      <c r="I29" s="291"/>
      <c r="J29" s="291"/>
      <c r="K29" s="291"/>
      <c r="L29" s="291"/>
      <c r="M29" s="291"/>
      <c r="N29" s="291"/>
      <c r="O29" s="291"/>
      <c r="P29" s="291"/>
      <c r="Q29" s="291"/>
      <c r="R29" s="291"/>
      <c r="S29" s="291"/>
      <c r="T29" s="291"/>
      <c r="U29" s="291"/>
      <c r="V29" s="291"/>
      <c r="W29" s="136"/>
      <c r="X29" s="136"/>
      <c r="Y29" s="136"/>
      <c r="Z29" s="136"/>
      <c r="AA29" s="136"/>
      <c r="AB29" s="136"/>
      <c r="AC29" s="136"/>
      <c r="AD29" s="136"/>
      <c r="AE29" s="136"/>
      <c r="AF29" s="136"/>
      <c r="AG29" s="136"/>
      <c r="AH29" s="136"/>
      <c r="AI29" s="136"/>
      <c r="AJ29" s="136"/>
    </row>
    <row r="30" spans="2:36" x14ac:dyDescent="0.25">
      <c r="B30" s="291"/>
      <c r="C30" s="291"/>
      <c r="D30" s="291"/>
      <c r="E30" s="291"/>
      <c r="F30" s="291"/>
      <c r="G30" s="291"/>
      <c r="H30" s="291"/>
      <c r="I30" s="291"/>
      <c r="J30" s="291"/>
      <c r="K30" s="291"/>
      <c r="L30" s="291"/>
      <c r="M30" s="291"/>
      <c r="N30" s="291"/>
      <c r="O30" s="291"/>
      <c r="P30" s="291"/>
      <c r="Q30" s="291"/>
      <c r="R30" s="291"/>
      <c r="S30" s="291"/>
      <c r="T30" s="291"/>
      <c r="U30" s="291"/>
      <c r="V30" s="291"/>
      <c r="W30" s="136"/>
      <c r="X30" s="136"/>
      <c r="Y30" s="136"/>
      <c r="Z30" s="136"/>
      <c r="AA30" s="136"/>
      <c r="AB30" s="136"/>
      <c r="AC30" s="136"/>
      <c r="AD30" s="136"/>
      <c r="AE30" s="136"/>
      <c r="AF30" s="136"/>
      <c r="AG30" s="136"/>
      <c r="AH30" s="136"/>
      <c r="AI30" s="136"/>
      <c r="AJ30" s="136"/>
    </row>
    <row r="31" spans="2:36" x14ac:dyDescent="0.25">
      <c r="B31" s="291"/>
      <c r="C31" s="291"/>
      <c r="D31" s="291"/>
      <c r="E31" s="291"/>
      <c r="F31" s="291"/>
      <c r="G31" s="291"/>
      <c r="H31" s="291"/>
      <c r="I31" s="291"/>
      <c r="J31" s="291"/>
      <c r="K31" s="291"/>
      <c r="L31" s="291"/>
      <c r="M31" s="291"/>
      <c r="N31" s="291"/>
      <c r="O31" s="291"/>
      <c r="P31" s="291"/>
      <c r="Q31" s="291"/>
      <c r="R31" s="291"/>
      <c r="S31" s="291"/>
      <c r="T31" s="291"/>
      <c r="U31" s="291"/>
      <c r="V31" s="291"/>
      <c r="W31" s="136"/>
      <c r="X31" s="136"/>
      <c r="Y31" s="136"/>
      <c r="Z31" s="136"/>
      <c r="AA31" s="136"/>
      <c r="AB31" s="136"/>
      <c r="AC31" s="136"/>
      <c r="AD31" s="136"/>
      <c r="AE31" s="136"/>
      <c r="AF31" s="136"/>
      <c r="AG31" s="136"/>
      <c r="AH31" s="136"/>
      <c r="AI31" s="136"/>
      <c r="AJ31" s="136"/>
    </row>
    <row r="32" spans="2:36" x14ac:dyDescent="0.25">
      <c r="B32" s="291"/>
      <c r="C32" s="291"/>
      <c r="D32" s="291"/>
      <c r="E32" s="291"/>
      <c r="F32" s="291"/>
      <c r="G32" s="291"/>
      <c r="H32" s="291"/>
      <c r="I32" s="291"/>
      <c r="J32" s="291"/>
      <c r="K32" s="291"/>
      <c r="L32" s="291"/>
      <c r="M32" s="291"/>
      <c r="N32" s="291"/>
      <c r="O32" s="291"/>
      <c r="P32" s="291"/>
      <c r="Q32" s="291"/>
      <c r="R32" s="291"/>
      <c r="S32" s="291"/>
      <c r="T32" s="291"/>
      <c r="U32" s="291"/>
      <c r="V32" s="291"/>
      <c r="W32" s="136"/>
      <c r="X32" s="136"/>
      <c r="Y32" s="136"/>
      <c r="Z32" s="136"/>
      <c r="AA32" s="136"/>
      <c r="AB32" s="136"/>
      <c r="AC32" s="136"/>
      <c r="AD32" s="136"/>
      <c r="AE32" s="136"/>
      <c r="AF32" s="136"/>
      <c r="AG32" s="136"/>
      <c r="AH32" s="136"/>
      <c r="AI32" s="136"/>
      <c r="AJ32" s="136"/>
    </row>
    <row r="33" spans="2:36" x14ac:dyDescent="0.25">
      <c r="B33" s="291"/>
      <c r="C33" s="291"/>
      <c r="D33" s="291"/>
      <c r="E33" s="291"/>
      <c r="F33" s="291"/>
      <c r="G33" s="291"/>
      <c r="H33" s="291"/>
      <c r="I33" s="291"/>
      <c r="J33" s="291"/>
      <c r="K33" s="291"/>
      <c r="L33" s="291"/>
      <c r="M33" s="291"/>
      <c r="N33" s="291"/>
      <c r="O33" s="291"/>
      <c r="P33" s="291"/>
      <c r="Q33" s="291"/>
      <c r="R33" s="291"/>
      <c r="S33" s="291"/>
      <c r="T33" s="291"/>
      <c r="U33" s="291"/>
      <c r="V33" s="291"/>
      <c r="W33" s="136"/>
      <c r="X33" s="136"/>
      <c r="Y33" s="136"/>
      <c r="Z33" s="136"/>
      <c r="AA33" s="136"/>
      <c r="AB33" s="136"/>
      <c r="AC33" s="136"/>
      <c r="AD33" s="136"/>
      <c r="AE33" s="136"/>
      <c r="AF33" s="136"/>
      <c r="AG33" s="136"/>
      <c r="AH33" s="136"/>
      <c r="AI33" s="136"/>
      <c r="AJ33" s="136"/>
    </row>
    <row r="34" spans="2:36" x14ac:dyDescent="0.25">
      <c r="B34" s="291"/>
      <c r="C34" s="291"/>
      <c r="D34" s="291"/>
      <c r="E34" s="291"/>
      <c r="F34" s="291"/>
      <c r="G34" s="291"/>
      <c r="H34" s="291"/>
      <c r="I34" s="291"/>
      <c r="J34" s="291"/>
      <c r="K34" s="291"/>
      <c r="L34" s="291"/>
      <c r="M34" s="291"/>
      <c r="N34" s="291"/>
      <c r="O34" s="291"/>
      <c r="P34" s="291"/>
      <c r="Q34" s="291"/>
      <c r="R34" s="291"/>
      <c r="S34" s="291"/>
      <c r="T34" s="291"/>
      <c r="U34" s="291"/>
      <c r="V34" s="291"/>
      <c r="W34" s="136"/>
      <c r="X34" s="136"/>
      <c r="Y34" s="136"/>
      <c r="Z34" s="136"/>
      <c r="AA34" s="136"/>
      <c r="AB34" s="136"/>
      <c r="AC34" s="136"/>
      <c r="AD34" s="136"/>
      <c r="AE34" s="136"/>
      <c r="AF34" s="136"/>
      <c r="AG34" s="136"/>
      <c r="AH34" s="136"/>
      <c r="AI34" s="136"/>
      <c r="AJ34" s="136"/>
    </row>
    <row r="35" spans="2:36" x14ac:dyDescent="0.25">
      <c r="B35" s="291"/>
      <c r="C35" s="291"/>
      <c r="D35" s="291"/>
      <c r="E35" s="291"/>
      <c r="F35" s="291"/>
      <c r="G35" s="291"/>
      <c r="H35" s="291"/>
      <c r="I35" s="291"/>
      <c r="J35" s="291"/>
      <c r="K35" s="291"/>
      <c r="L35" s="291"/>
      <c r="M35" s="291"/>
      <c r="N35" s="291"/>
      <c r="O35" s="291"/>
      <c r="P35" s="291"/>
      <c r="Q35" s="291"/>
      <c r="R35" s="291"/>
      <c r="S35" s="291"/>
      <c r="T35" s="291"/>
      <c r="U35" s="291"/>
      <c r="V35" s="291"/>
      <c r="W35" s="136"/>
      <c r="X35" s="136"/>
      <c r="Y35" s="136"/>
      <c r="Z35" s="136"/>
      <c r="AA35" s="136"/>
      <c r="AB35" s="136"/>
      <c r="AC35" s="136"/>
      <c r="AD35" s="136"/>
      <c r="AE35" s="136"/>
      <c r="AF35" s="136"/>
      <c r="AG35" s="136"/>
      <c r="AH35" s="136"/>
      <c r="AI35" s="136"/>
      <c r="AJ35" s="136"/>
    </row>
    <row r="36" spans="2:36" x14ac:dyDescent="0.25">
      <c r="B36" s="291"/>
      <c r="C36" s="291"/>
      <c r="D36" s="291"/>
      <c r="E36" s="291"/>
      <c r="F36" s="291"/>
      <c r="G36" s="291"/>
      <c r="H36" s="291"/>
      <c r="I36" s="291"/>
      <c r="J36" s="291"/>
      <c r="K36" s="291"/>
      <c r="L36" s="291"/>
      <c r="M36" s="291"/>
      <c r="N36" s="291"/>
      <c r="O36" s="291"/>
      <c r="P36" s="291"/>
      <c r="Q36" s="291"/>
      <c r="R36" s="291"/>
      <c r="S36" s="291"/>
      <c r="T36" s="291"/>
      <c r="U36" s="291"/>
      <c r="V36" s="291"/>
      <c r="W36" s="136"/>
      <c r="X36" s="136"/>
      <c r="Y36" s="136"/>
      <c r="Z36" s="136"/>
      <c r="AA36" s="136"/>
      <c r="AB36" s="136"/>
      <c r="AC36" s="136"/>
      <c r="AD36" s="136"/>
      <c r="AE36" s="136"/>
      <c r="AF36" s="136"/>
      <c r="AG36" s="136"/>
      <c r="AH36" s="136"/>
      <c r="AI36" s="136"/>
      <c r="AJ36" s="136"/>
    </row>
    <row r="37" spans="2:36" x14ac:dyDescent="0.25">
      <c r="B37" s="291"/>
      <c r="C37" s="291"/>
      <c r="D37" s="291"/>
      <c r="E37" s="291"/>
      <c r="F37" s="291"/>
      <c r="G37" s="291"/>
      <c r="H37" s="291"/>
      <c r="I37" s="291"/>
      <c r="J37" s="291"/>
      <c r="K37" s="291"/>
      <c r="L37" s="291"/>
      <c r="M37" s="291"/>
      <c r="N37" s="291"/>
      <c r="O37" s="291"/>
      <c r="P37" s="291"/>
      <c r="Q37" s="291"/>
      <c r="R37" s="291"/>
      <c r="S37" s="291"/>
      <c r="T37" s="291"/>
      <c r="U37" s="291"/>
      <c r="V37" s="291"/>
      <c r="W37" s="136"/>
      <c r="X37" s="136"/>
      <c r="Y37" s="136"/>
      <c r="Z37" s="136"/>
      <c r="AA37" s="136"/>
      <c r="AB37" s="136"/>
      <c r="AC37" s="136"/>
      <c r="AD37" s="136"/>
      <c r="AE37" s="136"/>
      <c r="AF37" s="136"/>
      <c r="AG37" s="136"/>
      <c r="AH37" s="136"/>
      <c r="AI37" s="136"/>
      <c r="AJ37" s="136"/>
    </row>
    <row r="38" spans="2:36" x14ac:dyDescent="0.25">
      <c r="B38" s="291"/>
      <c r="C38" s="291"/>
      <c r="D38" s="291"/>
      <c r="E38" s="291"/>
      <c r="F38" s="291"/>
      <c r="G38" s="291"/>
      <c r="H38" s="291"/>
      <c r="I38" s="291"/>
      <c r="J38" s="291"/>
      <c r="K38" s="291"/>
      <c r="L38" s="291"/>
      <c r="M38" s="291"/>
      <c r="N38" s="291"/>
      <c r="O38" s="291"/>
      <c r="P38" s="291"/>
      <c r="Q38" s="291"/>
      <c r="R38" s="291"/>
      <c r="S38" s="291"/>
      <c r="T38" s="291"/>
      <c r="U38" s="291"/>
      <c r="V38" s="291"/>
      <c r="W38" s="136"/>
      <c r="X38" s="136"/>
      <c r="Y38" s="136"/>
      <c r="Z38" s="136"/>
      <c r="AA38" s="136"/>
      <c r="AB38" s="136"/>
      <c r="AC38" s="136"/>
      <c r="AD38" s="136"/>
      <c r="AE38" s="136"/>
      <c r="AF38" s="136"/>
      <c r="AG38" s="136"/>
      <c r="AH38" s="136"/>
      <c r="AI38" s="136"/>
      <c r="AJ38" s="136"/>
    </row>
    <row r="39" spans="2:36" x14ac:dyDescent="0.25">
      <c r="B39" s="291"/>
      <c r="C39" s="291"/>
      <c r="D39" s="291"/>
      <c r="E39" s="291"/>
      <c r="F39" s="291"/>
      <c r="G39" s="291"/>
      <c r="H39" s="291"/>
      <c r="I39" s="291"/>
      <c r="J39" s="291"/>
      <c r="K39" s="291"/>
      <c r="L39" s="291"/>
      <c r="M39" s="291"/>
      <c r="N39" s="291"/>
      <c r="O39" s="291"/>
      <c r="P39" s="291"/>
      <c r="Q39" s="291"/>
      <c r="R39" s="291"/>
      <c r="S39" s="291"/>
      <c r="T39" s="291"/>
      <c r="U39" s="291"/>
      <c r="V39" s="291"/>
      <c r="W39" s="136"/>
      <c r="X39" s="136"/>
      <c r="Y39" s="136"/>
      <c r="Z39" s="136"/>
      <c r="AA39" s="136"/>
      <c r="AB39" s="136"/>
      <c r="AC39" s="136"/>
      <c r="AD39" s="136"/>
      <c r="AE39" s="136"/>
      <c r="AF39" s="136"/>
      <c r="AG39" s="136"/>
      <c r="AH39" s="136"/>
      <c r="AI39" s="136"/>
      <c r="AJ39" s="136"/>
    </row>
    <row r="40" spans="2:36" x14ac:dyDescent="0.25">
      <c r="B40" s="291"/>
      <c r="C40" s="291"/>
      <c r="D40" s="291"/>
      <c r="E40" s="291"/>
      <c r="F40" s="291"/>
      <c r="G40" s="291"/>
      <c r="H40" s="291"/>
      <c r="I40" s="291"/>
      <c r="J40" s="291"/>
      <c r="K40" s="291"/>
      <c r="L40" s="291"/>
      <c r="M40" s="291"/>
      <c r="N40" s="291"/>
      <c r="O40" s="291"/>
      <c r="P40" s="291"/>
      <c r="Q40" s="291"/>
      <c r="R40" s="291"/>
      <c r="S40" s="291"/>
      <c r="T40" s="291"/>
      <c r="U40" s="291"/>
      <c r="V40" s="291"/>
      <c r="W40" s="136"/>
      <c r="X40" s="136"/>
      <c r="Y40" s="136"/>
      <c r="Z40" s="136"/>
      <c r="AA40" s="136"/>
      <c r="AB40" s="136"/>
      <c r="AC40" s="136"/>
      <c r="AD40" s="136"/>
      <c r="AE40" s="136"/>
      <c r="AF40" s="136"/>
      <c r="AG40" s="136"/>
      <c r="AH40" s="136"/>
      <c r="AI40" s="136"/>
      <c r="AJ40" s="136"/>
    </row>
    <row r="41" spans="2:36" x14ac:dyDescent="0.25">
      <c r="B41" s="291"/>
      <c r="C41" s="291"/>
      <c r="D41" s="291"/>
      <c r="E41" s="291"/>
      <c r="F41" s="291"/>
      <c r="G41" s="291"/>
      <c r="H41" s="291"/>
      <c r="I41" s="291"/>
      <c r="J41" s="291"/>
      <c r="K41" s="291"/>
      <c r="L41" s="291"/>
      <c r="M41" s="291"/>
      <c r="N41" s="291"/>
      <c r="O41" s="291"/>
      <c r="P41" s="291"/>
      <c r="Q41" s="291"/>
      <c r="R41" s="291"/>
      <c r="S41" s="291"/>
      <c r="T41" s="291"/>
      <c r="U41" s="291"/>
      <c r="V41" s="291"/>
      <c r="W41" s="136"/>
      <c r="X41" s="136"/>
      <c r="Y41" s="136"/>
      <c r="Z41" s="136"/>
      <c r="AA41" s="136"/>
      <c r="AB41" s="136"/>
      <c r="AC41" s="136"/>
      <c r="AD41" s="136"/>
      <c r="AE41" s="136"/>
      <c r="AF41" s="136"/>
      <c r="AG41" s="136"/>
      <c r="AH41" s="136"/>
      <c r="AI41" s="136"/>
      <c r="AJ41" s="136"/>
    </row>
    <row r="42" spans="2:36" x14ac:dyDescent="0.25">
      <c r="B42" s="291"/>
      <c r="C42" s="291"/>
      <c r="D42" s="291"/>
      <c r="E42" s="291"/>
      <c r="F42" s="291"/>
      <c r="G42" s="291"/>
      <c r="H42" s="291"/>
      <c r="I42" s="291"/>
      <c r="J42" s="291"/>
      <c r="K42" s="291"/>
      <c r="L42" s="291"/>
      <c r="M42" s="291"/>
      <c r="N42" s="291"/>
      <c r="O42" s="291"/>
      <c r="P42" s="291"/>
      <c r="Q42" s="291"/>
      <c r="R42" s="291"/>
      <c r="S42" s="291"/>
      <c r="T42" s="291"/>
      <c r="U42" s="291"/>
      <c r="V42" s="291"/>
      <c r="W42" s="136"/>
      <c r="X42" s="136"/>
      <c r="Y42" s="136"/>
      <c r="Z42" s="136"/>
      <c r="AA42" s="136"/>
      <c r="AB42" s="136"/>
      <c r="AC42" s="136"/>
      <c r="AD42" s="136"/>
      <c r="AE42" s="136"/>
      <c r="AF42" s="136"/>
      <c r="AG42" s="136"/>
      <c r="AH42" s="136"/>
      <c r="AI42" s="136"/>
      <c r="AJ42" s="136"/>
    </row>
    <row r="43" spans="2:36" x14ac:dyDescent="0.25">
      <c r="B43" s="291"/>
      <c r="C43" s="291"/>
      <c r="D43" s="291"/>
      <c r="E43" s="291"/>
      <c r="F43" s="291"/>
      <c r="G43" s="291"/>
      <c r="H43" s="291"/>
      <c r="I43" s="291"/>
      <c r="J43" s="291"/>
      <c r="K43" s="291"/>
      <c r="L43" s="291"/>
      <c r="M43" s="291"/>
      <c r="N43" s="291"/>
      <c r="O43" s="291"/>
      <c r="P43" s="291"/>
      <c r="Q43" s="291"/>
      <c r="R43" s="291"/>
      <c r="S43" s="291"/>
      <c r="T43" s="291"/>
      <c r="U43" s="291"/>
      <c r="V43" s="291"/>
    </row>
    <row r="44" spans="2:36" x14ac:dyDescent="0.25">
      <c r="B44" s="291"/>
      <c r="C44" s="291"/>
      <c r="D44" s="291"/>
      <c r="E44" s="291"/>
      <c r="F44" s="291"/>
      <c r="G44" s="291"/>
      <c r="H44" s="291"/>
      <c r="I44" s="291"/>
      <c r="J44" s="291"/>
      <c r="K44" s="291"/>
      <c r="L44" s="291"/>
      <c r="M44" s="291"/>
      <c r="N44" s="291"/>
      <c r="O44" s="291"/>
      <c r="P44" s="291"/>
      <c r="Q44" s="291"/>
      <c r="R44" s="291"/>
      <c r="S44" s="291"/>
      <c r="T44" s="291"/>
      <c r="U44" s="291"/>
      <c r="V44" s="291"/>
    </row>
    <row r="45" spans="2:36" x14ac:dyDescent="0.25">
      <c r="B45" s="291"/>
      <c r="C45" s="291"/>
      <c r="D45" s="291"/>
      <c r="E45" s="291"/>
      <c r="F45" s="291"/>
      <c r="G45" s="291"/>
      <c r="H45" s="291"/>
      <c r="I45" s="291"/>
      <c r="J45" s="291"/>
      <c r="K45" s="291"/>
      <c r="L45" s="291"/>
      <c r="M45" s="291"/>
      <c r="N45" s="291"/>
      <c r="O45" s="291"/>
      <c r="P45" s="291"/>
      <c r="Q45" s="291"/>
      <c r="R45" s="291"/>
      <c r="S45" s="291"/>
      <c r="T45" s="291"/>
      <c r="U45" s="291"/>
      <c r="V45" s="291"/>
    </row>
    <row r="46" spans="2:36" x14ac:dyDescent="0.25">
      <c r="B46" s="291"/>
      <c r="C46" s="291"/>
      <c r="D46" s="291"/>
      <c r="E46" s="291"/>
      <c r="F46" s="291"/>
      <c r="G46" s="291"/>
      <c r="H46" s="291"/>
      <c r="I46" s="291"/>
      <c r="J46" s="291"/>
      <c r="K46" s="291"/>
      <c r="L46" s="291"/>
      <c r="M46" s="291"/>
      <c r="N46" s="291"/>
      <c r="O46" s="291"/>
      <c r="P46" s="291"/>
      <c r="Q46" s="291"/>
      <c r="R46" s="291"/>
      <c r="S46" s="291"/>
      <c r="T46" s="291"/>
      <c r="U46" s="291"/>
      <c r="V46" s="291"/>
    </row>
    <row r="47" spans="2:36" x14ac:dyDescent="0.25">
      <c r="B47" s="291"/>
      <c r="C47" s="291"/>
      <c r="D47" s="291"/>
      <c r="E47" s="291"/>
      <c r="F47" s="291"/>
      <c r="G47" s="291"/>
      <c r="H47" s="291"/>
      <c r="I47" s="291"/>
      <c r="J47" s="291"/>
      <c r="K47" s="291"/>
      <c r="L47" s="291"/>
      <c r="M47" s="291"/>
      <c r="N47" s="291"/>
      <c r="O47" s="291"/>
      <c r="P47" s="291"/>
      <c r="Q47" s="291"/>
      <c r="R47" s="291"/>
      <c r="S47" s="291"/>
      <c r="T47" s="291"/>
      <c r="U47" s="291"/>
      <c r="V47" s="291"/>
    </row>
    <row r="48" spans="2:36" x14ac:dyDescent="0.25">
      <c r="B48" s="291"/>
      <c r="C48" s="291"/>
      <c r="D48" s="291"/>
      <c r="E48" s="291"/>
      <c r="F48" s="291"/>
      <c r="G48" s="291"/>
      <c r="H48" s="291"/>
      <c r="I48" s="291"/>
      <c r="J48" s="291"/>
      <c r="K48" s="291"/>
      <c r="L48" s="291"/>
      <c r="M48" s="291"/>
      <c r="N48" s="291"/>
      <c r="O48" s="291"/>
      <c r="P48" s="291"/>
      <c r="Q48" s="291"/>
      <c r="R48" s="291"/>
      <c r="S48" s="291"/>
      <c r="T48" s="291"/>
      <c r="U48" s="291"/>
      <c r="V48" s="291"/>
    </row>
    <row r="49" spans="2:22" x14ac:dyDescent="0.25">
      <c r="B49" s="291"/>
      <c r="C49" s="291"/>
      <c r="D49" s="291"/>
      <c r="E49" s="291"/>
      <c r="F49" s="291"/>
      <c r="G49" s="291"/>
      <c r="H49" s="291"/>
      <c r="I49" s="291"/>
      <c r="J49" s="291"/>
      <c r="K49" s="291"/>
      <c r="L49" s="291"/>
      <c r="M49" s="291"/>
      <c r="N49" s="291"/>
      <c r="O49" s="291"/>
      <c r="P49" s="291"/>
      <c r="Q49" s="291"/>
      <c r="R49" s="291"/>
      <c r="S49" s="291"/>
      <c r="T49" s="291"/>
      <c r="U49" s="291"/>
      <c r="V49" s="291"/>
    </row>
    <row r="50" spans="2:22" x14ac:dyDescent="0.25">
      <c r="B50" s="291"/>
      <c r="C50" s="291"/>
      <c r="D50" s="291"/>
      <c r="E50" s="291"/>
      <c r="F50" s="291"/>
      <c r="G50" s="291"/>
      <c r="H50" s="291"/>
      <c r="I50" s="291"/>
      <c r="J50" s="291"/>
      <c r="K50" s="291"/>
      <c r="L50" s="291"/>
      <c r="M50" s="291"/>
      <c r="N50" s="291"/>
      <c r="O50" s="291"/>
      <c r="P50" s="291"/>
      <c r="Q50" s="291"/>
      <c r="R50" s="291"/>
      <c r="S50" s="291"/>
      <c r="T50" s="291"/>
      <c r="U50" s="291"/>
      <c r="V50" s="291"/>
    </row>
    <row r="51" spans="2:22" x14ac:dyDescent="0.25">
      <c r="B51" s="291"/>
      <c r="C51" s="291"/>
      <c r="D51" s="291"/>
      <c r="E51" s="291"/>
      <c r="F51" s="291"/>
      <c r="G51" s="291"/>
      <c r="H51" s="291"/>
      <c r="I51" s="291"/>
      <c r="J51" s="291"/>
      <c r="K51" s="291"/>
      <c r="L51" s="291"/>
      <c r="M51" s="291"/>
      <c r="N51" s="291"/>
      <c r="O51" s="291"/>
      <c r="P51" s="291"/>
      <c r="Q51" s="291"/>
      <c r="R51" s="291"/>
      <c r="S51" s="291"/>
      <c r="T51" s="291"/>
      <c r="U51" s="291"/>
      <c r="V51" s="291"/>
    </row>
    <row r="52" spans="2:22" x14ac:dyDescent="0.25">
      <c r="B52" s="291"/>
      <c r="C52" s="291"/>
      <c r="D52" s="291"/>
      <c r="E52" s="291"/>
      <c r="F52" s="291"/>
      <c r="G52" s="291"/>
      <c r="H52" s="291"/>
      <c r="I52" s="291"/>
      <c r="J52" s="291"/>
      <c r="K52" s="291"/>
      <c r="L52" s="291"/>
      <c r="M52" s="291"/>
      <c r="N52" s="291"/>
      <c r="O52" s="291"/>
      <c r="P52" s="291"/>
      <c r="Q52" s="291"/>
      <c r="R52" s="291"/>
      <c r="S52" s="291"/>
      <c r="T52" s="291"/>
      <c r="U52" s="291"/>
      <c r="V52" s="291"/>
    </row>
    <row r="53" spans="2:22" x14ac:dyDescent="0.25">
      <c r="B53" s="291"/>
      <c r="C53" s="291"/>
      <c r="D53" s="291"/>
      <c r="E53" s="291"/>
      <c r="F53" s="291"/>
      <c r="G53" s="291"/>
      <c r="H53" s="291"/>
      <c r="I53" s="291"/>
      <c r="J53" s="291"/>
      <c r="K53" s="291"/>
      <c r="L53" s="291"/>
      <c r="M53" s="291"/>
      <c r="N53" s="291"/>
      <c r="O53" s="291"/>
      <c r="P53" s="291"/>
      <c r="Q53" s="291"/>
      <c r="R53" s="291"/>
      <c r="S53" s="291"/>
      <c r="T53" s="291"/>
      <c r="U53" s="291"/>
      <c r="V53" s="291"/>
    </row>
    <row r="54" spans="2:22" x14ac:dyDescent="0.25">
      <c r="B54" s="291"/>
      <c r="C54" s="291"/>
      <c r="D54" s="291"/>
      <c r="E54" s="291"/>
      <c r="F54" s="291"/>
      <c r="G54" s="291"/>
      <c r="H54" s="291"/>
      <c r="I54" s="291"/>
      <c r="J54" s="291"/>
      <c r="K54" s="291"/>
      <c r="L54" s="291"/>
      <c r="M54" s="291"/>
      <c r="N54" s="291"/>
      <c r="O54" s="291"/>
      <c r="P54" s="291"/>
      <c r="Q54" s="291"/>
      <c r="R54" s="291"/>
      <c r="S54" s="291"/>
      <c r="T54" s="291"/>
      <c r="U54" s="291"/>
      <c r="V54" s="291"/>
    </row>
    <row r="55" spans="2:22" x14ac:dyDescent="0.25">
      <c r="B55" s="291"/>
      <c r="C55" s="291"/>
      <c r="D55" s="291"/>
      <c r="E55" s="291"/>
      <c r="F55" s="291"/>
      <c r="G55" s="291"/>
      <c r="H55" s="291"/>
      <c r="I55" s="291"/>
      <c r="J55" s="291"/>
      <c r="K55" s="291"/>
      <c r="L55" s="291"/>
      <c r="M55" s="291"/>
      <c r="N55" s="291"/>
      <c r="O55" s="291"/>
      <c r="P55" s="291"/>
      <c r="Q55" s="291"/>
      <c r="R55" s="291"/>
      <c r="S55" s="291"/>
      <c r="T55" s="291"/>
      <c r="U55" s="291"/>
      <c r="V55" s="291"/>
    </row>
    <row r="56" spans="2:22" x14ac:dyDescent="0.25">
      <c r="B56" s="291"/>
      <c r="C56" s="291"/>
      <c r="D56" s="291"/>
      <c r="E56" s="291"/>
      <c r="F56" s="291"/>
      <c r="G56" s="291"/>
      <c r="H56" s="291"/>
      <c r="I56" s="291"/>
      <c r="J56" s="291"/>
      <c r="K56" s="291"/>
      <c r="L56" s="291"/>
      <c r="M56" s="291"/>
      <c r="N56" s="291"/>
      <c r="O56" s="291"/>
      <c r="P56" s="291"/>
      <c r="Q56" s="291"/>
      <c r="R56" s="291"/>
      <c r="S56" s="291"/>
      <c r="T56" s="291"/>
      <c r="U56" s="291"/>
      <c r="V56" s="291"/>
    </row>
    <row r="57" spans="2:22" x14ac:dyDescent="0.25">
      <c r="B57" s="291"/>
      <c r="C57" s="291"/>
      <c r="D57" s="291"/>
      <c r="E57" s="291"/>
      <c r="F57" s="291"/>
      <c r="G57" s="291"/>
      <c r="H57" s="291"/>
      <c r="I57" s="291"/>
      <c r="J57" s="291"/>
      <c r="K57" s="291"/>
      <c r="L57" s="291"/>
      <c r="M57" s="291"/>
      <c r="N57" s="291"/>
      <c r="O57" s="291"/>
      <c r="P57" s="291"/>
      <c r="Q57" s="291"/>
      <c r="R57" s="291"/>
      <c r="S57" s="291"/>
      <c r="T57" s="291"/>
      <c r="U57" s="291"/>
      <c r="V57" s="291"/>
    </row>
    <row r="58" spans="2:22" x14ac:dyDescent="0.25">
      <c r="B58" s="291"/>
      <c r="C58" s="291"/>
      <c r="D58" s="291"/>
      <c r="E58" s="291"/>
      <c r="F58" s="291"/>
      <c r="G58" s="291"/>
      <c r="H58" s="291"/>
      <c r="I58" s="291"/>
      <c r="J58" s="291"/>
      <c r="K58" s="291"/>
      <c r="L58" s="291"/>
      <c r="M58" s="291"/>
      <c r="N58" s="291"/>
      <c r="O58" s="291"/>
      <c r="P58" s="291"/>
      <c r="Q58" s="291"/>
      <c r="R58" s="291"/>
      <c r="S58" s="291"/>
      <c r="T58" s="291"/>
      <c r="U58" s="291"/>
      <c r="V58" s="291"/>
    </row>
    <row r="59" spans="2:22" x14ac:dyDescent="0.25">
      <c r="B59" s="291"/>
      <c r="C59" s="291"/>
      <c r="D59" s="291"/>
      <c r="E59" s="291"/>
      <c r="F59" s="291"/>
      <c r="G59" s="291"/>
      <c r="H59" s="291"/>
      <c r="I59" s="291"/>
      <c r="J59" s="291"/>
      <c r="K59" s="291"/>
      <c r="L59" s="291"/>
      <c r="M59" s="291"/>
      <c r="N59" s="291"/>
      <c r="O59" s="291"/>
      <c r="P59" s="291"/>
      <c r="Q59" s="291"/>
      <c r="R59" s="291"/>
      <c r="S59" s="291"/>
      <c r="T59" s="291"/>
      <c r="U59" s="291"/>
      <c r="V59" s="291"/>
    </row>
    <row r="60" spans="2:22" x14ac:dyDescent="0.25">
      <c r="B60" s="291"/>
      <c r="C60" s="291"/>
      <c r="D60" s="291"/>
      <c r="E60" s="291"/>
      <c r="F60" s="291"/>
      <c r="G60" s="291"/>
      <c r="H60" s="291"/>
      <c r="I60" s="291"/>
      <c r="J60" s="291"/>
      <c r="K60" s="291"/>
      <c r="L60" s="291"/>
      <c r="M60" s="291"/>
      <c r="N60" s="291"/>
      <c r="O60" s="291"/>
      <c r="P60" s="291"/>
      <c r="Q60" s="291"/>
      <c r="R60" s="291"/>
      <c r="S60" s="291"/>
      <c r="T60" s="291"/>
      <c r="U60" s="291"/>
      <c r="V60" s="291"/>
    </row>
    <row r="61" spans="2:22" x14ac:dyDescent="0.25">
      <c r="B61" s="134"/>
      <c r="C61" s="134"/>
      <c r="D61" s="134"/>
      <c r="E61" s="134"/>
      <c r="F61" s="134"/>
      <c r="G61" s="134"/>
      <c r="H61" s="134"/>
      <c r="I61" s="134"/>
      <c r="J61" s="134"/>
      <c r="K61" s="134"/>
      <c r="L61" s="134"/>
      <c r="M61" s="134"/>
      <c r="N61" s="134"/>
      <c r="O61" s="134"/>
      <c r="P61" s="134"/>
    </row>
    <row r="62" spans="2:22" x14ac:dyDescent="0.25">
      <c r="B62" s="134"/>
      <c r="C62" s="134"/>
      <c r="D62" s="134"/>
      <c r="E62" s="134"/>
      <c r="F62" s="134"/>
      <c r="G62" s="134"/>
      <c r="H62" s="134"/>
      <c r="I62" s="134"/>
      <c r="J62" s="134"/>
      <c r="K62" s="134"/>
      <c r="L62" s="134"/>
      <c r="M62" s="134"/>
      <c r="N62" s="134"/>
      <c r="O62" s="134"/>
      <c r="P62" s="134"/>
    </row>
    <row r="63" spans="2:22" x14ac:dyDescent="0.25">
      <c r="B63" s="134"/>
      <c r="C63" s="134"/>
      <c r="D63" s="134"/>
      <c r="E63" s="134"/>
      <c r="F63" s="134"/>
      <c r="G63" s="134"/>
      <c r="H63" s="134"/>
      <c r="I63" s="134"/>
      <c r="J63" s="134"/>
      <c r="K63" s="134"/>
      <c r="L63" s="134"/>
      <c r="M63" s="134"/>
      <c r="N63" s="134"/>
      <c r="O63" s="134"/>
      <c r="P63" s="134"/>
    </row>
    <row r="64" spans="2:22" x14ac:dyDescent="0.25">
      <c r="B64" s="134"/>
      <c r="C64" s="134"/>
      <c r="D64" s="134"/>
      <c r="E64" s="134"/>
      <c r="F64" s="134"/>
      <c r="G64" s="134"/>
      <c r="H64" s="134"/>
      <c r="I64" s="134"/>
      <c r="J64" s="134"/>
      <c r="K64" s="134"/>
      <c r="L64" s="134"/>
      <c r="M64" s="134"/>
      <c r="N64" s="134"/>
      <c r="O64" s="134"/>
      <c r="P64" s="134"/>
    </row>
    <row r="65" spans="2:16" x14ac:dyDescent="0.25">
      <c r="B65" s="134"/>
      <c r="C65" s="134"/>
      <c r="D65" s="134"/>
      <c r="E65" s="134"/>
      <c r="F65" s="134"/>
      <c r="G65" s="134"/>
      <c r="H65" s="134"/>
      <c r="I65" s="134"/>
      <c r="J65" s="134"/>
      <c r="K65" s="134"/>
      <c r="L65" s="134"/>
      <c r="M65" s="134"/>
      <c r="N65" s="134"/>
      <c r="O65" s="134"/>
      <c r="P65" s="134"/>
    </row>
    <row r="66" spans="2:16" x14ac:dyDescent="0.25">
      <c r="B66" s="134"/>
      <c r="C66" s="134"/>
      <c r="D66" s="134"/>
      <c r="E66" s="134"/>
      <c r="F66" s="134"/>
      <c r="G66" s="134"/>
      <c r="H66" s="134"/>
      <c r="I66" s="134"/>
      <c r="J66" s="134"/>
      <c r="K66" s="134"/>
      <c r="L66" s="134"/>
      <c r="M66" s="134"/>
      <c r="N66" s="134"/>
      <c r="O66" s="134"/>
      <c r="P66" s="134"/>
    </row>
    <row r="67" spans="2:16" x14ac:dyDescent="0.25">
      <c r="B67" s="291"/>
      <c r="C67" s="291"/>
      <c r="D67" s="291"/>
      <c r="E67" s="291"/>
      <c r="F67" s="291"/>
      <c r="G67" s="291"/>
      <c r="H67" s="291"/>
      <c r="I67" s="291"/>
      <c r="J67" s="291"/>
      <c r="K67" s="291"/>
      <c r="L67" s="291"/>
      <c r="M67" s="291"/>
      <c r="N67" s="291"/>
      <c r="O67" s="291"/>
      <c r="P67" s="291"/>
    </row>
    <row r="68" spans="2:16" x14ac:dyDescent="0.25">
      <c r="B68" s="291"/>
      <c r="C68" s="291"/>
      <c r="D68" s="291"/>
      <c r="E68" s="291"/>
      <c r="F68" s="291"/>
      <c r="G68" s="291"/>
      <c r="H68" s="291"/>
      <c r="I68" s="291"/>
      <c r="J68" s="291"/>
      <c r="K68" s="291"/>
      <c r="L68" s="291"/>
      <c r="M68" s="291"/>
      <c r="N68" s="291"/>
      <c r="O68" s="291"/>
      <c r="P68" s="291"/>
    </row>
    <row r="69" spans="2:16" x14ac:dyDescent="0.25">
      <c r="B69" s="291"/>
      <c r="C69" s="291"/>
      <c r="D69" s="291"/>
      <c r="E69" s="291"/>
      <c r="F69" s="291"/>
      <c r="G69" s="291"/>
      <c r="H69" s="291"/>
      <c r="I69" s="291"/>
      <c r="J69" s="291"/>
      <c r="K69" s="291"/>
      <c r="L69" s="291"/>
      <c r="M69" s="291"/>
      <c r="N69" s="291"/>
      <c r="O69" s="291"/>
      <c r="P69" s="291"/>
    </row>
    <row r="70" spans="2:16" x14ac:dyDescent="0.25">
      <c r="B70" s="291"/>
      <c r="C70" s="291"/>
      <c r="D70" s="291"/>
      <c r="E70" s="291"/>
      <c r="F70" s="291"/>
      <c r="G70" s="291"/>
      <c r="H70" s="291"/>
      <c r="I70" s="291"/>
      <c r="J70" s="291"/>
      <c r="K70" s="291"/>
      <c r="L70" s="291"/>
      <c r="M70" s="291"/>
      <c r="N70" s="291"/>
      <c r="O70" s="291"/>
      <c r="P70" s="291"/>
    </row>
    <row r="71" spans="2:16" x14ac:dyDescent="0.25">
      <c r="B71" s="291"/>
      <c r="C71" s="291"/>
      <c r="D71" s="291"/>
      <c r="E71" s="291"/>
      <c r="F71" s="291"/>
      <c r="G71" s="291"/>
      <c r="H71" s="291"/>
      <c r="I71" s="291"/>
      <c r="J71" s="291"/>
      <c r="K71" s="291"/>
      <c r="L71" s="291"/>
      <c r="M71" s="291"/>
      <c r="N71" s="291"/>
      <c r="O71" s="291"/>
      <c r="P71" s="291"/>
    </row>
    <row r="72" spans="2:16" x14ac:dyDescent="0.25">
      <c r="B72" s="291"/>
      <c r="C72" s="291"/>
      <c r="D72" s="291"/>
      <c r="E72" s="291"/>
      <c r="F72" s="291"/>
      <c r="G72" s="291"/>
      <c r="H72" s="291"/>
      <c r="I72" s="291"/>
      <c r="J72" s="291"/>
      <c r="K72" s="291"/>
      <c r="L72" s="291"/>
      <c r="M72" s="291"/>
      <c r="N72" s="291"/>
      <c r="O72" s="291"/>
      <c r="P72" s="291"/>
    </row>
    <row r="73" spans="2:16" x14ac:dyDescent="0.25">
      <c r="B73" s="291"/>
      <c r="C73" s="291"/>
      <c r="D73" s="291"/>
      <c r="E73" s="291"/>
      <c r="F73" s="291"/>
      <c r="G73" s="291"/>
      <c r="H73" s="291"/>
      <c r="I73" s="291"/>
      <c r="J73" s="291"/>
      <c r="K73" s="291"/>
      <c r="L73" s="291"/>
      <c r="M73" s="291"/>
      <c r="N73" s="291"/>
      <c r="O73" s="291"/>
      <c r="P73" s="291"/>
    </row>
    <row r="74" spans="2:16" x14ac:dyDescent="0.25">
      <c r="B74" s="291"/>
      <c r="C74" s="291"/>
      <c r="D74" s="291"/>
      <c r="E74" s="291"/>
      <c r="F74" s="291"/>
      <c r="G74" s="291"/>
      <c r="H74" s="291"/>
      <c r="I74" s="291"/>
      <c r="J74" s="291"/>
      <c r="K74" s="291"/>
      <c r="L74" s="291"/>
      <c r="M74" s="291"/>
      <c r="N74" s="291"/>
      <c r="O74" s="291"/>
      <c r="P74" s="291"/>
    </row>
    <row r="75" spans="2:16" x14ac:dyDescent="0.25">
      <c r="B75" s="291"/>
      <c r="C75" s="291"/>
      <c r="D75" s="291"/>
      <c r="E75" s="291"/>
      <c r="F75" s="291"/>
      <c r="G75" s="291"/>
      <c r="H75" s="291"/>
      <c r="I75" s="291"/>
      <c r="J75" s="291"/>
      <c r="K75" s="291"/>
      <c r="L75" s="291"/>
      <c r="M75" s="291"/>
      <c r="N75" s="291"/>
      <c r="O75" s="291"/>
      <c r="P75" s="291"/>
    </row>
    <row r="76" spans="2:16" x14ac:dyDescent="0.25">
      <c r="B76" s="291"/>
      <c r="C76" s="291"/>
      <c r="D76" s="291"/>
      <c r="E76" s="291"/>
      <c r="F76" s="291"/>
      <c r="G76" s="291"/>
      <c r="H76" s="291"/>
      <c r="I76" s="291"/>
      <c r="J76" s="291"/>
      <c r="K76" s="291"/>
      <c r="L76" s="291"/>
      <c r="M76" s="291"/>
      <c r="N76" s="291"/>
      <c r="O76" s="291"/>
      <c r="P76" s="291"/>
    </row>
    <row r="77" spans="2:16" x14ac:dyDescent="0.25">
      <c r="B77" s="291"/>
      <c r="C77" s="291"/>
      <c r="D77" s="291"/>
      <c r="E77" s="291"/>
      <c r="F77" s="291"/>
      <c r="G77" s="291"/>
      <c r="H77" s="291"/>
      <c r="I77" s="291"/>
      <c r="J77" s="291"/>
      <c r="K77" s="291"/>
      <c r="L77" s="291"/>
      <c r="M77" s="291"/>
      <c r="N77" s="291"/>
      <c r="O77" s="291"/>
      <c r="P77" s="291"/>
    </row>
    <row r="78" spans="2:16" x14ac:dyDescent="0.25">
      <c r="B78" s="291"/>
      <c r="C78" s="291"/>
      <c r="D78" s="291"/>
      <c r="E78" s="291"/>
      <c r="F78" s="291"/>
      <c r="G78" s="291"/>
      <c r="H78" s="291"/>
      <c r="I78" s="291"/>
      <c r="J78" s="291"/>
      <c r="K78" s="291"/>
      <c r="L78" s="291"/>
      <c r="M78" s="291"/>
      <c r="N78" s="291"/>
      <c r="O78" s="291"/>
      <c r="P78" s="291"/>
    </row>
    <row r="79" spans="2:16" x14ac:dyDescent="0.25">
      <c r="B79" s="291"/>
      <c r="C79" s="291"/>
      <c r="D79" s="291"/>
      <c r="E79" s="291"/>
      <c r="F79" s="291"/>
      <c r="G79" s="291"/>
      <c r="H79" s="291"/>
      <c r="I79" s="291"/>
      <c r="J79" s="291"/>
      <c r="K79" s="291"/>
      <c r="L79" s="291"/>
      <c r="M79" s="291"/>
      <c r="N79" s="291"/>
      <c r="O79" s="291"/>
      <c r="P79" s="291"/>
    </row>
    <row r="80" spans="2:16" x14ac:dyDescent="0.25">
      <c r="B80" s="291"/>
      <c r="C80" s="291"/>
      <c r="D80" s="291"/>
      <c r="E80" s="291"/>
      <c r="F80" s="291"/>
      <c r="G80" s="291"/>
      <c r="H80" s="291"/>
      <c r="I80" s="291"/>
      <c r="J80" s="291"/>
      <c r="K80" s="291"/>
      <c r="L80" s="291"/>
      <c r="M80" s="291"/>
      <c r="N80" s="291"/>
      <c r="O80" s="291"/>
      <c r="P80" s="291"/>
    </row>
    <row r="81" spans="2:16" x14ac:dyDescent="0.25">
      <c r="B81" s="291"/>
      <c r="C81" s="291"/>
      <c r="D81" s="291"/>
      <c r="E81" s="291"/>
      <c r="F81" s="291"/>
      <c r="G81" s="291"/>
      <c r="H81" s="291"/>
      <c r="I81" s="291"/>
      <c r="J81" s="291"/>
      <c r="K81" s="291"/>
      <c r="L81" s="291"/>
      <c r="M81" s="291"/>
      <c r="N81" s="291"/>
      <c r="O81" s="291"/>
      <c r="P81" s="291"/>
    </row>
    <row r="82" spans="2:16" x14ac:dyDescent="0.25">
      <c r="B82" s="291"/>
      <c r="C82" s="291"/>
      <c r="D82" s="291"/>
      <c r="E82" s="291"/>
      <c r="F82" s="291"/>
      <c r="G82" s="291"/>
      <c r="H82" s="291"/>
      <c r="I82" s="291"/>
      <c r="J82" s="291"/>
      <c r="K82" s="291"/>
      <c r="L82" s="291"/>
      <c r="M82" s="291"/>
      <c r="N82" s="291"/>
      <c r="O82" s="291"/>
      <c r="P82" s="291"/>
    </row>
    <row r="83" spans="2:16" x14ac:dyDescent="0.25">
      <c r="B83" s="291"/>
      <c r="C83" s="291"/>
      <c r="D83" s="291"/>
      <c r="E83" s="291"/>
      <c r="F83" s="291"/>
      <c r="G83" s="291"/>
      <c r="H83" s="291"/>
      <c r="I83" s="291"/>
      <c r="J83" s="291"/>
      <c r="K83" s="291"/>
      <c r="L83" s="291"/>
      <c r="M83" s="291"/>
      <c r="N83" s="291"/>
      <c r="O83" s="291"/>
      <c r="P83" s="291"/>
    </row>
    <row r="84" spans="2:16" x14ac:dyDescent="0.25">
      <c r="B84" s="291"/>
      <c r="C84" s="291"/>
      <c r="D84" s="291"/>
      <c r="E84" s="291"/>
      <c r="F84" s="291"/>
      <c r="G84" s="291"/>
      <c r="H84" s="291"/>
      <c r="I84" s="291"/>
      <c r="J84" s="291"/>
      <c r="K84" s="291"/>
      <c r="L84" s="291"/>
      <c r="M84" s="291"/>
      <c r="N84" s="291"/>
      <c r="O84" s="291"/>
      <c r="P84" s="291"/>
    </row>
    <row r="85" spans="2:16" x14ac:dyDescent="0.25">
      <c r="B85" s="291"/>
      <c r="C85" s="291"/>
      <c r="D85" s="291"/>
      <c r="E85" s="291"/>
      <c r="F85" s="291"/>
      <c r="G85" s="291"/>
      <c r="H85" s="291"/>
      <c r="I85" s="291"/>
      <c r="J85" s="291"/>
      <c r="K85" s="291"/>
      <c r="L85" s="291"/>
      <c r="M85" s="291"/>
      <c r="N85" s="291"/>
      <c r="O85" s="291"/>
      <c r="P85" s="291"/>
    </row>
    <row r="86" spans="2:16" x14ac:dyDescent="0.25">
      <c r="B86" s="291"/>
      <c r="C86" s="291"/>
      <c r="D86" s="291"/>
      <c r="E86" s="291"/>
      <c r="F86" s="291"/>
      <c r="G86" s="291"/>
      <c r="H86" s="291"/>
      <c r="I86" s="291"/>
      <c r="J86" s="291"/>
      <c r="K86" s="291"/>
      <c r="L86" s="291"/>
      <c r="M86" s="291"/>
      <c r="N86" s="291"/>
      <c r="O86" s="291"/>
      <c r="P86" s="291"/>
    </row>
    <row r="87" spans="2:16" x14ac:dyDescent="0.25">
      <c r="B87" s="291"/>
      <c r="C87" s="291"/>
      <c r="D87" s="291"/>
      <c r="E87" s="291"/>
      <c r="F87" s="291"/>
      <c r="G87" s="291"/>
      <c r="H87" s="291"/>
      <c r="I87" s="291"/>
      <c r="J87" s="291"/>
      <c r="K87" s="291"/>
      <c r="L87" s="291"/>
      <c r="M87" s="291"/>
      <c r="N87" s="291"/>
      <c r="O87" s="291"/>
      <c r="P87" s="291"/>
    </row>
    <row r="88" spans="2:16" x14ac:dyDescent="0.25">
      <c r="B88" s="291"/>
      <c r="C88" s="291"/>
      <c r="D88" s="291"/>
      <c r="E88" s="291"/>
      <c r="F88" s="291"/>
      <c r="G88" s="291"/>
      <c r="H88" s="291"/>
      <c r="I88" s="291"/>
      <c r="J88" s="291"/>
      <c r="K88" s="291"/>
      <c r="L88" s="291"/>
      <c r="M88" s="291"/>
      <c r="N88" s="291"/>
      <c r="O88" s="291"/>
      <c r="P88" s="291"/>
    </row>
    <row r="89" spans="2:16" x14ac:dyDescent="0.25">
      <c r="B89" s="291"/>
      <c r="C89" s="291"/>
      <c r="D89" s="291"/>
      <c r="E89" s="291"/>
      <c r="F89" s="291"/>
      <c r="G89" s="291"/>
      <c r="H89" s="291"/>
      <c r="I89" s="291"/>
      <c r="J89" s="291"/>
      <c r="K89" s="291"/>
      <c r="L89" s="291"/>
      <c r="M89" s="291"/>
      <c r="N89" s="291"/>
      <c r="O89" s="291"/>
      <c r="P89" s="291"/>
    </row>
    <row r="90" spans="2:16" x14ac:dyDescent="0.25">
      <c r="B90" s="291"/>
      <c r="C90" s="291"/>
      <c r="D90" s="291"/>
      <c r="E90" s="291"/>
      <c r="F90" s="291"/>
      <c r="G90" s="291"/>
      <c r="H90" s="291"/>
      <c r="I90" s="291"/>
      <c r="J90" s="291"/>
      <c r="K90" s="291"/>
      <c r="L90" s="291"/>
      <c r="M90" s="291"/>
      <c r="N90" s="291"/>
      <c r="O90" s="291"/>
      <c r="P90" s="291"/>
    </row>
    <row r="91" spans="2:16" x14ac:dyDescent="0.25">
      <c r="B91" s="291"/>
      <c r="C91" s="291"/>
      <c r="D91" s="291"/>
      <c r="E91" s="291"/>
      <c r="F91" s="291"/>
      <c r="G91" s="291"/>
      <c r="H91" s="291"/>
      <c r="I91" s="291"/>
      <c r="J91" s="291"/>
      <c r="K91" s="291"/>
      <c r="L91" s="291"/>
      <c r="M91" s="291"/>
      <c r="N91" s="291"/>
      <c r="O91" s="291"/>
      <c r="P91" s="291"/>
    </row>
    <row r="92" spans="2:16" x14ac:dyDescent="0.25">
      <c r="B92" s="291"/>
      <c r="C92" s="291"/>
      <c r="D92" s="291"/>
      <c r="E92" s="291"/>
      <c r="F92" s="291"/>
      <c r="G92" s="291"/>
      <c r="H92" s="291"/>
      <c r="I92" s="291"/>
      <c r="J92" s="291"/>
      <c r="K92" s="291"/>
      <c r="L92" s="291"/>
      <c r="M92" s="291"/>
      <c r="N92" s="291"/>
      <c r="O92" s="291"/>
      <c r="P92" s="291"/>
    </row>
    <row r="93" spans="2:16" x14ac:dyDescent="0.25">
      <c r="B93" s="291"/>
      <c r="C93" s="291"/>
      <c r="D93" s="291"/>
      <c r="E93" s="291"/>
      <c r="F93" s="291"/>
      <c r="G93" s="291"/>
      <c r="H93" s="291"/>
      <c r="I93" s="291"/>
      <c r="J93" s="291"/>
      <c r="K93" s="291"/>
      <c r="L93" s="291"/>
      <c r="M93" s="291"/>
      <c r="N93" s="291"/>
      <c r="O93" s="291"/>
      <c r="P93" s="291"/>
    </row>
    <row r="94" spans="2:16" x14ac:dyDescent="0.25">
      <c r="B94" s="291"/>
      <c r="C94" s="291"/>
      <c r="D94" s="291"/>
      <c r="E94" s="291"/>
      <c r="F94" s="291"/>
      <c r="G94" s="291"/>
      <c r="H94" s="291"/>
      <c r="I94" s="291"/>
      <c r="J94" s="291"/>
      <c r="K94" s="291"/>
      <c r="L94" s="291"/>
      <c r="M94" s="291"/>
      <c r="N94" s="291"/>
      <c r="O94" s="291"/>
      <c r="P94" s="291"/>
    </row>
    <row r="95" spans="2:16" x14ac:dyDescent="0.25">
      <c r="B95" s="291"/>
      <c r="C95" s="291"/>
      <c r="D95" s="291"/>
      <c r="E95" s="291"/>
      <c r="F95" s="291"/>
      <c r="G95" s="291"/>
      <c r="H95" s="291"/>
      <c r="I95" s="291"/>
      <c r="J95" s="291"/>
      <c r="K95" s="291"/>
      <c r="L95" s="291"/>
      <c r="M95" s="291"/>
      <c r="N95" s="291"/>
      <c r="O95" s="291"/>
      <c r="P95" s="291"/>
    </row>
    <row r="96" spans="2:16" x14ac:dyDescent="0.25">
      <c r="B96" s="291"/>
      <c r="C96" s="291"/>
      <c r="D96" s="291"/>
      <c r="E96" s="291"/>
      <c r="F96" s="291"/>
      <c r="G96" s="291"/>
      <c r="H96" s="291"/>
      <c r="I96" s="291"/>
      <c r="J96" s="291"/>
      <c r="K96" s="291"/>
      <c r="L96" s="291"/>
      <c r="M96" s="291"/>
      <c r="N96" s="291"/>
      <c r="O96" s="291"/>
      <c r="P96" s="291"/>
    </row>
    <row r="97" spans="2:16" x14ac:dyDescent="0.25">
      <c r="B97" s="291"/>
      <c r="C97" s="291"/>
      <c r="D97" s="291"/>
      <c r="E97" s="291"/>
      <c r="F97" s="291"/>
      <c r="G97" s="291"/>
      <c r="H97" s="291"/>
      <c r="I97" s="291"/>
      <c r="J97" s="291"/>
      <c r="K97" s="291"/>
      <c r="L97" s="291"/>
      <c r="M97" s="291"/>
      <c r="N97" s="291"/>
      <c r="O97" s="291"/>
      <c r="P97" s="291"/>
    </row>
    <row r="98" spans="2:16" x14ac:dyDescent="0.25">
      <c r="B98" s="291"/>
      <c r="C98" s="291"/>
      <c r="D98" s="291"/>
      <c r="E98" s="291"/>
      <c r="F98" s="291"/>
      <c r="G98" s="291"/>
      <c r="H98" s="291"/>
      <c r="I98" s="291"/>
      <c r="J98" s="291"/>
      <c r="K98" s="291"/>
      <c r="L98" s="291"/>
      <c r="M98" s="291"/>
      <c r="N98" s="291"/>
      <c r="O98" s="291"/>
      <c r="P98" s="291"/>
    </row>
    <row r="99" spans="2:16" x14ac:dyDescent="0.25">
      <c r="B99" s="291"/>
      <c r="C99" s="291"/>
      <c r="D99" s="291"/>
      <c r="E99" s="291"/>
      <c r="F99" s="291"/>
      <c r="G99" s="291"/>
      <c r="H99" s="291"/>
      <c r="I99" s="291"/>
      <c r="J99" s="291"/>
      <c r="K99" s="291"/>
      <c r="L99" s="291"/>
      <c r="M99" s="291"/>
      <c r="N99" s="291"/>
      <c r="O99" s="291"/>
      <c r="P99" s="291"/>
    </row>
    <row r="100" spans="2:16" x14ac:dyDescent="0.25">
      <c r="B100" s="291"/>
      <c r="C100" s="291"/>
      <c r="D100" s="291"/>
      <c r="E100" s="291"/>
      <c r="F100" s="291"/>
      <c r="G100" s="291"/>
      <c r="H100" s="291"/>
      <c r="I100" s="291"/>
      <c r="J100" s="291"/>
      <c r="K100" s="291"/>
      <c r="L100" s="291"/>
      <c r="M100" s="291"/>
      <c r="N100" s="291"/>
      <c r="O100" s="291"/>
      <c r="P100" s="291"/>
    </row>
    <row r="101" spans="2:16" x14ac:dyDescent="0.25">
      <c r="B101" s="291"/>
      <c r="C101" s="291"/>
      <c r="D101" s="291"/>
      <c r="E101" s="291"/>
      <c r="F101" s="291"/>
      <c r="G101" s="291"/>
      <c r="H101" s="291"/>
      <c r="I101" s="291"/>
      <c r="J101" s="291"/>
      <c r="K101" s="291"/>
      <c r="L101" s="291"/>
      <c r="M101" s="291"/>
      <c r="N101" s="291"/>
      <c r="O101" s="291"/>
      <c r="P101" s="291"/>
    </row>
    <row r="102" spans="2:16" x14ac:dyDescent="0.25">
      <c r="B102" s="291"/>
      <c r="C102" s="291"/>
      <c r="D102" s="291"/>
      <c r="E102" s="291"/>
      <c r="F102" s="291"/>
      <c r="G102" s="291"/>
      <c r="H102" s="291"/>
      <c r="I102" s="291"/>
      <c r="J102" s="291"/>
      <c r="K102" s="291"/>
      <c r="L102" s="291"/>
      <c r="M102" s="291"/>
      <c r="N102" s="291"/>
      <c r="O102" s="291"/>
      <c r="P102" s="291"/>
    </row>
    <row r="103" spans="2:16" x14ac:dyDescent="0.25">
      <c r="B103" s="291"/>
      <c r="C103" s="291"/>
      <c r="D103" s="291"/>
      <c r="E103" s="291"/>
      <c r="F103" s="291"/>
      <c r="G103" s="291"/>
      <c r="H103" s="291"/>
      <c r="I103" s="291"/>
      <c r="J103" s="291"/>
      <c r="K103" s="291"/>
      <c r="L103" s="291"/>
      <c r="M103" s="291"/>
      <c r="N103" s="291"/>
      <c r="O103" s="291"/>
      <c r="P103" s="291"/>
    </row>
    <row r="104" spans="2:16" x14ac:dyDescent="0.25">
      <c r="B104" s="291"/>
      <c r="C104" s="291"/>
      <c r="D104" s="291"/>
      <c r="E104" s="291"/>
      <c r="F104" s="291"/>
      <c r="G104" s="291"/>
      <c r="H104" s="291"/>
      <c r="I104" s="291"/>
      <c r="J104" s="291"/>
      <c r="K104" s="291"/>
      <c r="L104" s="291"/>
      <c r="M104" s="291"/>
      <c r="N104" s="291"/>
      <c r="O104" s="291"/>
      <c r="P104" s="291"/>
    </row>
    <row r="105" spans="2:16" x14ac:dyDescent="0.25">
      <c r="B105" s="291"/>
      <c r="C105" s="291"/>
      <c r="D105" s="291"/>
      <c r="E105" s="291"/>
      <c r="F105" s="291"/>
      <c r="G105" s="291"/>
      <c r="H105" s="291"/>
      <c r="I105" s="291"/>
      <c r="J105" s="291"/>
      <c r="K105" s="291"/>
      <c r="L105" s="291"/>
      <c r="M105" s="291"/>
      <c r="N105" s="291"/>
      <c r="O105" s="291"/>
      <c r="P105" s="291"/>
    </row>
  </sheetData>
  <mergeCells count="2">
    <mergeCell ref="B2:V60"/>
    <mergeCell ref="B67:P105"/>
  </mergeCells>
  <phoneticPr fontId="11" type="noConversion"/>
  <pageMargins left="0.35433070866141736" right="0.27559055118110237" top="1.299212598425197" bottom="0.62992125984251968" header="0.27559055118110237" footer="0.27559055118110237"/>
  <pageSetup paperSize="8" scale="52"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12.0 
Issue Date: 11/02/2014&amp;R&amp;8Page &amp;P of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52"/>
  <sheetViews>
    <sheetView showGridLines="0" topLeftCell="A7" zoomScale="85" zoomScaleNormal="85" workbookViewId="0">
      <selection activeCell="C23" sqref="C23:I23"/>
    </sheetView>
  </sheetViews>
  <sheetFormatPr defaultColWidth="8" defaultRowHeight="10.199999999999999" x14ac:dyDescent="0.2"/>
  <cols>
    <col min="1" max="1" width="3.6640625" style="59" customWidth="1"/>
    <col min="2" max="2" width="5.109375" style="59" customWidth="1"/>
    <col min="3" max="3" width="18.109375" style="59" customWidth="1"/>
    <col min="4" max="4" width="1.44140625" style="59" customWidth="1"/>
    <col min="5" max="5" width="15.109375" style="59" customWidth="1"/>
    <col min="6" max="6" width="16.44140625" style="59" customWidth="1"/>
    <col min="7" max="7" width="1.5546875" style="59" customWidth="1"/>
    <col min="8" max="8" width="7.109375" style="59" customWidth="1"/>
    <col min="9" max="9" width="13.6640625" style="59" customWidth="1"/>
    <col min="10" max="10" width="15.5546875" style="59" customWidth="1"/>
    <col min="11" max="11" width="13.88671875" style="59" customWidth="1"/>
    <col min="12" max="12" width="4.44140625" style="59" customWidth="1"/>
    <col min="13" max="13" width="1.6640625" style="59" customWidth="1"/>
    <col min="14" max="14" width="17.44140625" style="59" customWidth="1"/>
    <col min="15" max="15" width="1.44140625" style="59" customWidth="1"/>
    <col min="16" max="16" width="3.88671875" style="59" customWidth="1"/>
    <col min="17" max="17" width="14.109375" style="59" customWidth="1"/>
    <col min="18" max="18" width="1.88671875" style="59" customWidth="1"/>
    <col min="19" max="19" width="4" style="59" bestFit="1" customWidth="1"/>
    <col min="20" max="20" width="7.33203125" style="59" customWidth="1"/>
    <col min="21" max="21" width="28.33203125" style="59" customWidth="1"/>
    <col min="22" max="22" width="7" style="59" customWidth="1"/>
    <col min="23" max="23" width="3" style="59" customWidth="1"/>
    <col min="24" max="24" width="3.33203125" style="59" customWidth="1"/>
    <col min="25" max="25" width="7.5546875" style="59" customWidth="1"/>
    <col min="26" max="26" width="4.88671875" style="59" customWidth="1"/>
    <col min="27" max="27" width="16.6640625" style="59" customWidth="1"/>
    <col min="28" max="28" width="12.44140625" style="59" customWidth="1"/>
    <col min="29" max="29" width="17.88671875" style="59" customWidth="1"/>
    <col min="30" max="30" width="4.5546875" style="59" customWidth="1"/>
    <col min="31" max="31" width="8.33203125" style="59" customWidth="1"/>
    <col min="32" max="33" width="8" style="59" customWidth="1"/>
    <col min="34" max="34" width="10.33203125" style="59" bestFit="1" customWidth="1"/>
    <col min="35" max="36" width="23.109375" style="59" customWidth="1"/>
    <col min="37" max="37" width="23" style="59" customWidth="1"/>
    <col min="38" max="16384" width="8" style="59"/>
  </cols>
  <sheetData>
    <row r="1" spans="1:30" ht="28.5" customHeight="1" thickBot="1" x14ac:dyDescent="0.25">
      <c r="A1" s="56"/>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8"/>
    </row>
    <row r="2" spans="1:30" ht="23.4" thickBot="1" x14ac:dyDescent="0.45">
      <c r="A2" s="60"/>
      <c r="B2" s="315" t="s">
        <v>66</v>
      </c>
      <c r="C2" s="316"/>
      <c r="D2" s="317"/>
      <c r="E2" s="318"/>
      <c r="F2" s="318"/>
      <c r="G2" s="318"/>
      <c r="H2" s="319"/>
      <c r="I2" s="61"/>
      <c r="J2" s="61"/>
      <c r="K2" s="61"/>
      <c r="L2" s="61"/>
      <c r="M2" s="61"/>
      <c r="N2" s="62"/>
      <c r="O2" s="63" t="s">
        <v>67</v>
      </c>
      <c r="P2" s="63"/>
      <c r="Q2" s="63"/>
      <c r="R2" s="61"/>
      <c r="S2" s="61"/>
      <c r="T2" s="61"/>
      <c r="U2" s="61"/>
      <c r="V2" s="61"/>
      <c r="W2" s="61"/>
      <c r="X2" s="61"/>
      <c r="Y2" s="61"/>
      <c r="Z2" s="61"/>
      <c r="AA2" s="64" t="s">
        <v>68</v>
      </c>
      <c r="AB2" s="320"/>
      <c r="AC2" s="321"/>
      <c r="AD2" s="65"/>
    </row>
    <row r="3" spans="1:30" ht="23.4" thickBot="1" x14ac:dyDescent="0.45">
      <c r="A3" s="60"/>
      <c r="I3" s="61"/>
      <c r="J3" s="61"/>
      <c r="K3" s="61"/>
      <c r="L3" s="61"/>
      <c r="M3" s="61"/>
      <c r="N3" s="66"/>
      <c r="O3" s="67"/>
      <c r="P3" s="68"/>
      <c r="Q3" s="68"/>
      <c r="R3" s="61"/>
      <c r="S3" s="61"/>
      <c r="T3" s="61"/>
      <c r="U3" s="61"/>
      <c r="V3" s="61"/>
      <c r="W3" s="61"/>
      <c r="X3" s="61"/>
      <c r="Y3" s="61"/>
      <c r="Z3" s="61"/>
      <c r="AD3" s="65"/>
    </row>
    <row r="4" spans="1:30" ht="23.4" thickBot="1" x14ac:dyDescent="0.45">
      <c r="A4" s="60"/>
      <c r="B4" s="315" t="s">
        <v>69</v>
      </c>
      <c r="C4" s="316"/>
      <c r="D4" s="322" t="s">
        <v>70</v>
      </c>
      <c r="E4" s="323"/>
      <c r="F4" s="323"/>
      <c r="G4" s="323"/>
      <c r="H4" s="321"/>
      <c r="I4" s="61"/>
      <c r="J4" s="61"/>
      <c r="K4" s="61"/>
      <c r="L4" s="61"/>
      <c r="M4" s="61"/>
      <c r="N4" s="66"/>
      <c r="O4" s="69"/>
      <c r="P4" s="68"/>
      <c r="Q4" s="68"/>
      <c r="R4" s="61"/>
      <c r="S4" s="61"/>
      <c r="T4" s="61"/>
      <c r="U4" s="61"/>
      <c r="V4" s="61"/>
      <c r="W4" s="315" t="s">
        <v>71</v>
      </c>
      <c r="X4" s="324"/>
      <c r="Y4" s="325"/>
      <c r="Z4" s="326"/>
      <c r="AA4" s="70"/>
      <c r="AB4" s="71"/>
      <c r="AC4" s="72"/>
      <c r="AD4" s="65"/>
    </row>
    <row r="5" spans="1:30" ht="12.75" customHeight="1" x14ac:dyDescent="0.2">
      <c r="A5" s="60"/>
      <c r="B5" s="61"/>
      <c r="C5" s="61"/>
      <c r="D5" s="61"/>
      <c r="E5" s="61"/>
      <c r="F5" s="61"/>
      <c r="G5" s="61"/>
      <c r="H5" s="61"/>
      <c r="I5" s="61"/>
      <c r="J5" s="292" t="s">
        <v>72</v>
      </c>
      <c r="K5" s="293"/>
      <c r="L5" s="293"/>
      <c r="M5" s="293"/>
      <c r="N5" s="294"/>
      <c r="O5" s="298" t="s">
        <v>73</v>
      </c>
      <c r="P5" s="299"/>
      <c r="Q5" s="299"/>
      <c r="R5" s="299"/>
      <c r="S5" s="299"/>
      <c r="T5" s="299"/>
      <c r="U5" s="300"/>
      <c r="V5" s="61"/>
      <c r="W5" s="61"/>
      <c r="X5" s="61"/>
      <c r="Y5" s="61"/>
      <c r="Z5" s="61"/>
      <c r="AA5" s="61"/>
      <c r="AB5" s="61"/>
      <c r="AC5" s="61"/>
      <c r="AD5" s="65"/>
    </row>
    <row r="6" spans="1:30" ht="23.25" customHeight="1" thickBot="1" x14ac:dyDescent="0.25">
      <c r="A6" s="60"/>
      <c r="B6" s="61"/>
      <c r="C6" s="61"/>
      <c r="D6" s="61"/>
      <c r="E6" s="61"/>
      <c r="F6" s="61"/>
      <c r="G6" s="61"/>
      <c r="H6" s="61"/>
      <c r="I6" s="61"/>
      <c r="J6" s="295"/>
      <c r="K6" s="296"/>
      <c r="L6" s="296"/>
      <c r="M6" s="296"/>
      <c r="N6" s="297"/>
      <c r="O6" s="301"/>
      <c r="P6" s="302"/>
      <c r="Q6" s="302"/>
      <c r="R6" s="302"/>
      <c r="S6" s="302"/>
      <c r="T6" s="302"/>
      <c r="U6" s="303"/>
      <c r="V6" s="61"/>
      <c r="W6" s="61"/>
      <c r="X6" s="61"/>
      <c r="Y6" s="61"/>
      <c r="Z6" s="61"/>
      <c r="AA6" s="61"/>
      <c r="AB6" s="61"/>
      <c r="AC6" s="61"/>
      <c r="AD6" s="65"/>
    </row>
    <row r="7" spans="1:30" ht="30" customHeight="1" thickBot="1" x14ac:dyDescent="0.25">
      <c r="A7" s="60"/>
      <c r="B7" s="304" t="s">
        <v>74</v>
      </c>
      <c r="C7" s="305"/>
      <c r="D7" s="305"/>
      <c r="E7" s="305"/>
      <c r="F7" s="305"/>
      <c r="G7" s="305"/>
      <c r="H7" s="306"/>
      <c r="I7" s="61"/>
      <c r="J7" s="61"/>
      <c r="K7" s="66"/>
      <c r="L7" s="66"/>
      <c r="M7" s="66"/>
      <c r="N7" s="66"/>
      <c r="O7" s="66"/>
      <c r="P7" s="66"/>
      <c r="Q7" s="66"/>
      <c r="R7" s="66"/>
      <c r="S7" s="66"/>
      <c r="T7" s="61"/>
      <c r="U7" s="61"/>
      <c r="V7" s="61"/>
      <c r="W7" s="61"/>
      <c r="X7" s="307" t="s">
        <v>75</v>
      </c>
      <c r="Y7" s="308"/>
      <c r="Z7" s="308"/>
      <c r="AA7" s="308"/>
      <c r="AB7" s="308"/>
      <c r="AC7" s="309"/>
      <c r="AD7" s="65"/>
    </row>
    <row r="8" spans="1:30" ht="27.75" customHeight="1" x14ac:dyDescent="0.2">
      <c r="A8" s="60"/>
      <c r="B8" s="130">
        <v>1</v>
      </c>
      <c r="C8" s="310" t="s">
        <v>76</v>
      </c>
      <c r="D8" s="311"/>
      <c r="E8" s="311"/>
      <c r="F8" s="311"/>
      <c r="G8" s="311"/>
      <c r="H8" s="311"/>
      <c r="I8" s="61"/>
      <c r="J8" s="61"/>
      <c r="K8" s="61"/>
      <c r="L8" s="61"/>
      <c r="M8" s="61"/>
      <c r="N8" s="73"/>
      <c r="O8" s="73"/>
      <c r="P8" s="73"/>
      <c r="Q8" s="73"/>
      <c r="R8" s="61"/>
      <c r="S8" s="61"/>
      <c r="T8" s="61"/>
      <c r="U8" s="61"/>
      <c r="V8" s="61"/>
      <c r="W8" s="61"/>
      <c r="X8" s="74">
        <v>1</v>
      </c>
      <c r="Y8" s="312" t="s">
        <v>77</v>
      </c>
      <c r="Z8" s="313"/>
      <c r="AA8" s="313"/>
      <c r="AB8" s="313"/>
      <c r="AC8" s="314"/>
      <c r="AD8" s="65"/>
    </row>
    <row r="9" spans="1:30" ht="24.75" customHeight="1" x14ac:dyDescent="0.2">
      <c r="A9" s="60"/>
      <c r="B9" s="130">
        <v>2</v>
      </c>
      <c r="C9" s="310" t="s">
        <v>78</v>
      </c>
      <c r="D9" s="311"/>
      <c r="E9" s="311"/>
      <c r="F9" s="311"/>
      <c r="G9" s="311"/>
      <c r="H9" s="311"/>
      <c r="I9" s="61"/>
      <c r="J9" s="61"/>
      <c r="K9" s="61"/>
      <c r="L9" s="61"/>
      <c r="M9" s="61"/>
      <c r="N9" s="328"/>
      <c r="O9" s="328"/>
      <c r="P9" s="328"/>
      <c r="Q9" s="328"/>
      <c r="R9" s="61"/>
      <c r="S9" s="61"/>
      <c r="T9" s="61"/>
      <c r="U9" s="61"/>
      <c r="V9" s="61"/>
      <c r="W9" s="61"/>
      <c r="X9" s="74">
        <v>2</v>
      </c>
      <c r="Y9" s="329" t="s">
        <v>79</v>
      </c>
      <c r="Z9" s="329"/>
      <c r="AA9" s="329"/>
      <c r="AB9" s="329"/>
      <c r="AC9" s="329"/>
      <c r="AD9" s="65"/>
    </row>
    <row r="10" spans="1:30" ht="20.25" customHeight="1" x14ac:dyDescent="0.2">
      <c r="A10" s="60"/>
      <c r="B10" s="130">
        <v>3</v>
      </c>
      <c r="C10" s="310" t="s">
        <v>123</v>
      </c>
      <c r="D10" s="311"/>
      <c r="E10" s="311"/>
      <c r="F10" s="311"/>
      <c r="G10" s="311"/>
      <c r="H10" s="311"/>
      <c r="I10" s="61"/>
      <c r="J10" s="61"/>
      <c r="K10" s="61"/>
      <c r="L10" s="61"/>
      <c r="M10" s="61"/>
      <c r="N10" s="328"/>
      <c r="O10" s="328"/>
      <c r="P10" s="328"/>
      <c r="Q10" s="328"/>
      <c r="R10" s="61"/>
      <c r="S10" s="61"/>
      <c r="T10" s="61"/>
      <c r="U10" s="61"/>
      <c r="V10" s="61"/>
      <c r="W10" s="61"/>
      <c r="X10" s="74">
        <v>3</v>
      </c>
      <c r="Y10" s="329" t="s">
        <v>80</v>
      </c>
      <c r="Z10" s="329"/>
      <c r="AA10" s="329"/>
      <c r="AB10" s="329"/>
      <c r="AC10" s="329"/>
      <c r="AD10" s="65"/>
    </row>
    <row r="11" spans="1:30" ht="24.75" customHeight="1" x14ac:dyDescent="0.2">
      <c r="A11" s="60"/>
      <c r="B11" s="130">
        <v>4</v>
      </c>
      <c r="C11" s="310" t="s">
        <v>81</v>
      </c>
      <c r="D11" s="311"/>
      <c r="E11" s="311"/>
      <c r="F11" s="311"/>
      <c r="G11" s="311"/>
      <c r="H11" s="311"/>
      <c r="I11" s="61"/>
      <c r="J11" s="61"/>
      <c r="K11" s="61"/>
      <c r="L11" s="61"/>
      <c r="M11" s="61"/>
      <c r="N11" s="328"/>
      <c r="O11" s="328"/>
      <c r="P11" s="328"/>
      <c r="Q11" s="328"/>
      <c r="R11" s="61"/>
      <c r="S11" s="61"/>
      <c r="T11" s="61"/>
      <c r="U11" s="61"/>
      <c r="V11" s="61"/>
      <c r="W11" s="61"/>
      <c r="X11" s="74">
        <v>4</v>
      </c>
      <c r="Y11" s="327"/>
      <c r="Z11" s="327"/>
      <c r="AA11" s="327"/>
      <c r="AB11" s="327"/>
      <c r="AC11" s="327"/>
      <c r="AD11" s="65"/>
    </row>
    <row r="12" spans="1:30" ht="24.75" customHeight="1" x14ac:dyDescent="0.2">
      <c r="A12" s="60"/>
      <c r="B12" s="130">
        <v>5</v>
      </c>
      <c r="C12" s="310" t="s">
        <v>82</v>
      </c>
      <c r="D12" s="311"/>
      <c r="E12" s="311"/>
      <c r="F12" s="311"/>
      <c r="G12" s="311"/>
      <c r="H12" s="311"/>
      <c r="I12" s="61"/>
      <c r="J12" s="61"/>
      <c r="K12" s="61"/>
      <c r="L12" s="61"/>
      <c r="M12" s="61"/>
      <c r="N12" s="328"/>
      <c r="O12" s="328"/>
      <c r="P12" s="328"/>
      <c r="Q12" s="328"/>
      <c r="R12" s="61"/>
      <c r="S12" s="61"/>
      <c r="T12" s="61"/>
      <c r="U12" s="61"/>
      <c r="V12" s="61"/>
      <c r="W12" s="61"/>
      <c r="X12" s="74">
        <v>5</v>
      </c>
      <c r="Y12" s="327"/>
      <c r="Z12" s="327"/>
      <c r="AA12" s="327"/>
      <c r="AB12" s="327"/>
      <c r="AC12" s="327"/>
      <c r="AD12" s="65"/>
    </row>
    <row r="13" spans="1:30" ht="23.25" customHeight="1" x14ac:dyDescent="0.2">
      <c r="A13" s="60"/>
      <c r="B13" s="130">
        <v>6</v>
      </c>
      <c r="C13" s="310" t="s">
        <v>83</v>
      </c>
      <c r="D13" s="311"/>
      <c r="E13" s="311"/>
      <c r="F13" s="311"/>
      <c r="G13" s="311"/>
      <c r="H13" s="311"/>
      <c r="I13" s="61"/>
      <c r="J13" s="61"/>
      <c r="K13" s="61"/>
      <c r="L13" s="61"/>
      <c r="M13" s="61"/>
      <c r="N13" s="75"/>
      <c r="O13" s="75"/>
      <c r="P13" s="75"/>
      <c r="Q13" s="75"/>
      <c r="R13" s="61"/>
      <c r="S13" s="61"/>
      <c r="T13" s="61"/>
      <c r="U13" s="61"/>
      <c r="V13" s="61"/>
      <c r="W13" s="61"/>
      <c r="X13" s="74">
        <v>6</v>
      </c>
      <c r="Y13" s="327"/>
      <c r="Z13" s="327"/>
      <c r="AA13" s="327"/>
      <c r="AB13" s="327"/>
      <c r="AC13" s="327"/>
      <c r="AD13" s="65"/>
    </row>
    <row r="14" spans="1:30" ht="27.75" customHeight="1" x14ac:dyDescent="0.2">
      <c r="A14" s="60"/>
      <c r="B14" s="130">
        <v>7</v>
      </c>
      <c r="C14" s="310" t="s">
        <v>84</v>
      </c>
      <c r="D14" s="311"/>
      <c r="E14" s="311"/>
      <c r="F14" s="311"/>
      <c r="G14" s="311"/>
      <c r="H14" s="311"/>
      <c r="I14" s="61"/>
      <c r="J14" s="61"/>
      <c r="K14" s="61"/>
      <c r="L14" s="61"/>
      <c r="M14" s="61"/>
      <c r="N14" s="75"/>
      <c r="O14" s="75"/>
      <c r="P14" s="75"/>
      <c r="Q14" s="75"/>
      <c r="R14" s="61"/>
      <c r="S14" s="61"/>
      <c r="T14" s="61"/>
      <c r="U14" s="61"/>
      <c r="V14" s="61"/>
      <c r="W14" s="61"/>
      <c r="X14" s="74">
        <v>7</v>
      </c>
      <c r="Y14" s="327"/>
      <c r="Z14" s="327"/>
      <c r="AA14" s="327"/>
      <c r="AB14" s="327"/>
      <c r="AC14" s="327"/>
      <c r="AD14" s="65"/>
    </row>
    <row r="15" spans="1:30" ht="23.25" customHeight="1" x14ac:dyDescent="0.2">
      <c r="A15" s="60"/>
      <c r="B15" s="130">
        <v>8</v>
      </c>
      <c r="C15" s="310" t="s">
        <v>85</v>
      </c>
      <c r="D15" s="311"/>
      <c r="E15" s="311"/>
      <c r="F15" s="311"/>
      <c r="G15" s="311"/>
      <c r="H15" s="311"/>
      <c r="I15" s="61"/>
      <c r="U15" s="61"/>
      <c r="V15" s="61"/>
      <c r="W15" s="61"/>
      <c r="X15" s="74">
        <v>8</v>
      </c>
      <c r="Y15" s="327"/>
      <c r="Z15" s="327"/>
      <c r="AA15" s="327"/>
      <c r="AB15" s="327"/>
      <c r="AC15" s="327"/>
      <c r="AD15" s="65"/>
    </row>
    <row r="16" spans="1:30" ht="34.5" customHeight="1" thickBot="1" x14ac:dyDescent="0.25">
      <c r="A16" s="60"/>
      <c r="B16" s="130">
        <v>9</v>
      </c>
      <c r="C16" s="310" t="s">
        <v>86</v>
      </c>
      <c r="D16" s="311"/>
      <c r="E16" s="311"/>
      <c r="F16" s="311"/>
      <c r="G16" s="311"/>
      <c r="H16" s="311"/>
      <c r="I16" s="61"/>
      <c r="U16" s="61"/>
      <c r="V16" s="61"/>
      <c r="W16" s="61"/>
      <c r="X16" s="74">
        <v>9</v>
      </c>
      <c r="Y16" s="327"/>
      <c r="Z16" s="327"/>
      <c r="AA16" s="327"/>
      <c r="AB16" s="327"/>
      <c r="AC16" s="327"/>
      <c r="AD16" s="65"/>
    </row>
    <row r="17" spans="1:30" ht="23.25" customHeight="1" thickBot="1" x14ac:dyDescent="0.3">
      <c r="A17" s="60"/>
      <c r="B17" s="130">
        <v>10</v>
      </c>
      <c r="C17" s="310" t="s">
        <v>87</v>
      </c>
      <c r="D17" s="311"/>
      <c r="E17" s="311"/>
      <c r="F17" s="311"/>
      <c r="G17" s="311"/>
      <c r="H17" s="311"/>
      <c r="I17" s="61"/>
      <c r="K17" s="333" t="s">
        <v>88</v>
      </c>
      <c r="L17" s="340"/>
      <c r="M17" s="334"/>
      <c r="N17" s="76">
        <v>1</v>
      </c>
      <c r="O17" s="77"/>
      <c r="P17" s="322" t="s">
        <v>89</v>
      </c>
      <c r="Q17" s="323"/>
      <c r="R17" s="323"/>
      <c r="S17" s="323"/>
      <c r="T17" s="321"/>
      <c r="U17" s="61"/>
      <c r="V17" s="61"/>
      <c r="W17" s="61"/>
      <c r="X17" s="74">
        <v>10</v>
      </c>
      <c r="Y17" s="327"/>
      <c r="Z17" s="327"/>
      <c r="AA17" s="327"/>
      <c r="AB17" s="327"/>
      <c r="AC17" s="327"/>
      <c r="AD17" s="65"/>
    </row>
    <row r="18" spans="1:30" ht="24.75" customHeight="1" x14ac:dyDescent="0.2">
      <c r="A18" s="60"/>
      <c r="B18" s="130">
        <v>11</v>
      </c>
      <c r="C18" s="310" t="s">
        <v>90</v>
      </c>
      <c r="D18" s="311"/>
      <c r="E18" s="311"/>
      <c r="F18" s="311"/>
      <c r="G18" s="311"/>
      <c r="H18" s="311"/>
      <c r="I18" s="61"/>
      <c r="J18" s="61"/>
      <c r="K18" s="330" t="s">
        <v>91</v>
      </c>
      <c r="L18" s="331"/>
      <c r="M18" s="332"/>
      <c r="N18" s="78">
        <v>30</v>
      </c>
      <c r="P18" s="333" t="s">
        <v>92</v>
      </c>
      <c r="Q18" s="334"/>
      <c r="R18" s="335">
        <v>1</v>
      </c>
      <c r="S18" s="336"/>
      <c r="T18" s="337"/>
      <c r="U18" s="61"/>
      <c r="V18" s="61"/>
      <c r="W18" s="61"/>
      <c r="X18" s="61"/>
      <c r="Y18" s="61"/>
      <c r="Z18" s="61"/>
      <c r="AA18" s="61"/>
      <c r="AB18" s="61"/>
      <c r="AC18" s="61"/>
      <c r="AD18" s="65"/>
    </row>
    <row r="19" spans="1:30" ht="24" customHeight="1" thickBot="1" x14ac:dyDescent="0.25">
      <c r="A19" s="60"/>
      <c r="B19" s="130">
        <v>12</v>
      </c>
      <c r="C19" s="310"/>
      <c r="D19" s="311"/>
      <c r="E19" s="311"/>
      <c r="F19" s="311"/>
      <c r="G19" s="311"/>
      <c r="H19" s="311"/>
      <c r="I19" s="61"/>
      <c r="J19" s="61"/>
      <c r="K19" s="79" t="s">
        <v>23</v>
      </c>
      <c r="L19" s="80"/>
      <c r="M19" s="81"/>
      <c r="N19" s="82">
        <f>N17*N18</f>
        <v>30</v>
      </c>
      <c r="O19" s="61"/>
      <c r="P19" s="79"/>
      <c r="Q19" s="81" t="s">
        <v>93</v>
      </c>
      <c r="R19" s="79">
        <v>50</v>
      </c>
      <c r="S19" s="338">
        <v>50</v>
      </c>
      <c r="T19" s="339"/>
      <c r="U19" s="61"/>
      <c r="V19" s="61"/>
      <c r="W19" s="61"/>
      <c r="X19" s="61"/>
      <c r="Y19" s="61"/>
      <c r="Z19" s="61"/>
      <c r="AA19" s="61"/>
      <c r="AB19" s="61"/>
      <c r="AC19" s="61"/>
      <c r="AD19" s="65"/>
    </row>
    <row r="20" spans="1:30" ht="20.25" customHeight="1" x14ac:dyDescent="0.2">
      <c r="A20" s="60"/>
      <c r="B20" s="130"/>
      <c r="C20" s="310"/>
      <c r="D20" s="311"/>
      <c r="E20" s="311"/>
      <c r="F20" s="311"/>
      <c r="G20" s="311"/>
      <c r="H20" s="311"/>
      <c r="I20" s="61"/>
      <c r="J20" s="61"/>
      <c r="K20" s="61"/>
      <c r="L20" s="61"/>
      <c r="M20" s="61"/>
      <c r="N20" s="61"/>
      <c r="O20" s="61"/>
      <c r="P20" s="61"/>
      <c r="Q20" s="61"/>
      <c r="R20" s="61"/>
      <c r="S20" s="61"/>
      <c r="T20" s="61"/>
      <c r="U20" s="61"/>
      <c r="V20" s="61"/>
      <c r="W20" s="61"/>
      <c r="X20" s="61"/>
      <c r="Y20" s="61"/>
      <c r="Z20" s="61"/>
      <c r="AA20" s="61"/>
      <c r="AB20" s="61"/>
      <c r="AC20" s="61"/>
      <c r="AD20" s="65"/>
    </row>
    <row r="21" spans="1:30" ht="18" customHeight="1" thickBot="1" x14ac:dyDescent="0.25">
      <c r="A21" s="60"/>
      <c r="B21" s="130"/>
      <c r="C21" s="345"/>
      <c r="D21" s="346"/>
      <c r="E21" s="346"/>
      <c r="F21" s="346"/>
      <c r="G21" s="346"/>
      <c r="H21" s="346"/>
      <c r="I21" s="61"/>
      <c r="J21" s="61"/>
      <c r="K21" s="61"/>
      <c r="L21" s="61"/>
      <c r="M21" s="61"/>
      <c r="N21" s="61"/>
      <c r="O21" s="61"/>
      <c r="P21" s="61"/>
      <c r="Q21" s="61"/>
      <c r="R21" s="61"/>
      <c r="S21" s="61"/>
      <c r="T21" s="61"/>
      <c r="U21" s="61"/>
      <c r="V21" s="61"/>
      <c r="W21" s="61"/>
      <c r="X21" s="61"/>
      <c r="Y21" s="61"/>
      <c r="Z21" s="61"/>
      <c r="AA21" s="61"/>
      <c r="AB21" s="61"/>
      <c r="AC21" s="61"/>
      <c r="AD21" s="65"/>
    </row>
    <row r="22" spans="1:30" ht="36" customHeight="1" thickBot="1" x14ac:dyDescent="0.25">
      <c r="A22" s="60"/>
      <c r="B22" s="347" t="s">
        <v>94</v>
      </c>
      <c r="C22" s="348"/>
      <c r="D22" s="348"/>
      <c r="E22" s="348"/>
      <c r="F22" s="348"/>
      <c r="G22" s="348"/>
      <c r="H22" s="348"/>
      <c r="I22" s="349"/>
      <c r="J22" s="83" t="s">
        <v>95</v>
      </c>
      <c r="K22" s="84" t="s">
        <v>96</v>
      </c>
      <c r="L22" s="350" t="s">
        <v>97</v>
      </c>
      <c r="M22" s="351"/>
      <c r="N22" s="352"/>
      <c r="O22" s="66"/>
      <c r="P22" s="322" t="s">
        <v>98</v>
      </c>
      <c r="Q22" s="353"/>
      <c r="R22" s="353"/>
      <c r="S22" s="353"/>
      <c r="T22" s="353"/>
      <c r="U22" s="353"/>
      <c r="V22" s="353"/>
      <c r="W22" s="353"/>
      <c r="X22" s="353"/>
      <c r="Y22" s="353"/>
      <c r="Z22" s="349"/>
      <c r="AA22" s="85" t="s">
        <v>99</v>
      </c>
      <c r="AB22" s="83" t="s">
        <v>96</v>
      </c>
      <c r="AC22" s="86" t="s">
        <v>97</v>
      </c>
      <c r="AD22" s="65"/>
    </row>
    <row r="23" spans="1:30" ht="27.75" customHeight="1" x14ac:dyDescent="0.2">
      <c r="A23" s="60"/>
      <c r="B23" s="87">
        <v>1</v>
      </c>
      <c r="C23" s="354" t="s">
        <v>100</v>
      </c>
      <c r="D23" s="354"/>
      <c r="E23" s="354"/>
      <c r="F23" s="354"/>
      <c r="G23" s="354"/>
      <c r="H23" s="354"/>
      <c r="I23" s="354"/>
      <c r="J23" s="88" t="s">
        <v>115</v>
      </c>
      <c r="K23" s="89" t="s">
        <v>101</v>
      </c>
      <c r="L23" s="355"/>
      <c r="M23" s="354"/>
      <c r="N23" s="356"/>
      <c r="O23" s="61"/>
      <c r="P23" s="87">
        <v>1</v>
      </c>
      <c r="Q23" s="354" t="s">
        <v>102</v>
      </c>
      <c r="R23" s="354"/>
      <c r="S23" s="354"/>
      <c r="T23" s="354"/>
      <c r="U23" s="354"/>
      <c r="V23" s="354"/>
      <c r="W23" s="354"/>
      <c r="X23" s="354"/>
      <c r="Y23" s="354"/>
      <c r="Z23" s="357"/>
      <c r="AA23" s="90">
        <v>1</v>
      </c>
      <c r="AB23" s="90" t="s">
        <v>101</v>
      </c>
      <c r="AC23" s="91"/>
      <c r="AD23" s="65"/>
    </row>
    <row r="24" spans="1:30" ht="27.75" customHeight="1" x14ac:dyDescent="0.2">
      <c r="A24" s="60"/>
      <c r="B24" s="92">
        <v>2</v>
      </c>
      <c r="C24" s="341" t="s">
        <v>103</v>
      </c>
      <c r="D24" s="341"/>
      <c r="E24" s="341"/>
      <c r="F24" s="341"/>
      <c r="G24" s="341"/>
      <c r="H24" s="341"/>
      <c r="I24" s="341"/>
      <c r="J24" s="93" t="s">
        <v>116</v>
      </c>
      <c r="K24" s="94" t="s">
        <v>101</v>
      </c>
      <c r="L24" s="342"/>
      <c r="M24" s="341"/>
      <c r="N24" s="343"/>
      <c r="O24" s="61"/>
      <c r="P24" s="92">
        <v>2</v>
      </c>
      <c r="Q24" s="341"/>
      <c r="R24" s="341"/>
      <c r="S24" s="341"/>
      <c r="T24" s="341"/>
      <c r="U24" s="341"/>
      <c r="V24" s="341"/>
      <c r="W24" s="341"/>
      <c r="X24" s="341"/>
      <c r="Y24" s="341"/>
      <c r="Z24" s="344"/>
      <c r="AA24" s="93"/>
      <c r="AB24" s="93"/>
      <c r="AC24" s="95"/>
      <c r="AD24" s="65"/>
    </row>
    <row r="25" spans="1:30" ht="30.75" customHeight="1" x14ac:dyDescent="0.2">
      <c r="A25" s="60"/>
      <c r="B25" s="92">
        <v>3</v>
      </c>
      <c r="C25" s="341" t="s">
        <v>104</v>
      </c>
      <c r="D25" s="341"/>
      <c r="E25" s="341"/>
      <c r="F25" s="341"/>
      <c r="G25" s="341"/>
      <c r="H25" s="341"/>
      <c r="I25" s="341"/>
      <c r="J25" s="93" t="s">
        <v>117</v>
      </c>
      <c r="K25" s="94" t="s">
        <v>101</v>
      </c>
      <c r="L25" s="342"/>
      <c r="M25" s="341"/>
      <c r="N25" s="343"/>
      <c r="O25" s="61"/>
      <c r="P25" s="92">
        <v>3</v>
      </c>
      <c r="Q25" s="341"/>
      <c r="R25" s="341"/>
      <c r="S25" s="341"/>
      <c r="T25" s="341"/>
      <c r="U25" s="341"/>
      <c r="V25" s="341"/>
      <c r="W25" s="341"/>
      <c r="X25" s="341"/>
      <c r="Y25" s="341"/>
      <c r="Z25" s="344"/>
      <c r="AA25" s="93"/>
      <c r="AB25" s="93"/>
      <c r="AC25" s="95"/>
      <c r="AD25" s="65"/>
    </row>
    <row r="26" spans="1:30" ht="27.75" customHeight="1" x14ac:dyDescent="0.2">
      <c r="A26" s="60"/>
      <c r="B26" s="92">
        <v>4</v>
      </c>
      <c r="C26" s="341" t="s">
        <v>105</v>
      </c>
      <c r="D26" s="341"/>
      <c r="E26" s="341"/>
      <c r="F26" s="341"/>
      <c r="G26" s="341"/>
      <c r="H26" s="341"/>
      <c r="I26" s="341"/>
      <c r="J26" s="131" t="s">
        <v>118</v>
      </c>
      <c r="K26" s="94" t="s">
        <v>101</v>
      </c>
      <c r="L26" s="342"/>
      <c r="M26" s="341"/>
      <c r="N26" s="343"/>
      <c r="O26" s="61"/>
      <c r="P26" s="92">
        <v>4</v>
      </c>
      <c r="Q26" s="341"/>
      <c r="R26" s="341"/>
      <c r="S26" s="341"/>
      <c r="T26" s="341"/>
      <c r="U26" s="341"/>
      <c r="V26" s="341"/>
      <c r="W26" s="341"/>
      <c r="X26" s="341"/>
      <c r="Y26" s="341"/>
      <c r="Z26" s="344"/>
      <c r="AA26" s="93"/>
      <c r="AB26" s="96"/>
      <c r="AC26" s="97"/>
      <c r="AD26" s="65"/>
    </row>
    <row r="27" spans="1:30" ht="27.75" customHeight="1" x14ac:dyDescent="0.2">
      <c r="A27" s="60"/>
      <c r="B27" s="92">
        <v>5</v>
      </c>
      <c r="C27" s="341" t="s">
        <v>106</v>
      </c>
      <c r="D27" s="341"/>
      <c r="E27" s="341"/>
      <c r="F27" s="341"/>
      <c r="G27" s="341"/>
      <c r="H27" s="341"/>
      <c r="I27" s="341"/>
      <c r="J27" s="132" t="s">
        <v>118</v>
      </c>
      <c r="K27" s="94" t="s">
        <v>101</v>
      </c>
      <c r="L27" s="355"/>
      <c r="M27" s="354"/>
      <c r="N27" s="356"/>
      <c r="O27" s="61"/>
      <c r="P27" s="92">
        <v>5</v>
      </c>
      <c r="Q27" s="341"/>
      <c r="R27" s="341"/>
      <c r="S27" s="341"/>
      <c r="T27" s="341"/>
      <c r="U27" s="341"/>
      <c r="V27" s="341"/>
      <c r="W27" s="341"/>
      <c r="X27" s="341"/>
      <c r="Y27" s="341"/>
      <c r="Z27" s="344"/>
      <c r="AA27" s="93"/>
      <c r="AB27" s="93"/>
      <c r="AC27" s="95"/>
      <c r="AD27" s="65"/>
    </row>
    <row r="28" spans="1:30" ht="27.75" customHeight="1" x14ac:dyDescent="0.2">
      <c r="A28" s="60"/>
      <c r="B28" s="92">
        <v>6</v>
      </c>
      <c r="C28" s="341" t="s">
        <v>107</v>
      </c>
      <c r="D28" s="341"/>
      <c r="E28" s="341"/>
      <c r="F28" s="341"/>
      <c r="G28" s="341"/>
      <c r="H28" s="341"/>
      <c r="I28" s="341"/>
      <c r="J28" s="93" t="s">
        <v>119</v>
      </c>
      <c r="K28" s="94" t="s">
        <v>108</v>
      </c>
      <c r="L28" s="342"/>
      <c r="M28" s="341"/>
      <c r="N28" s="343"/>
      <c r="O28" s="61"/>
      <c r="P28" s="92">
        <v>6</v>
      </c>
      <c r="Q28" s="341"/>
      <c r="R28" s="341"/>
      <c r="S28" s="341"/>
      <c r="T28" s="341"/>
      <c r="U28" s="341"/>
      <c r="V28" s="341"/>
      <c r="W28" s="341"/>
      <c r="X28" s="341"/>
      <c r="Y28" s="341"/>
      <c r="Z28" s="344"/>
      <c r="AA28" s="93"/>
      <c r="AB28" s="93"/>
      <c r="AC28" s="95"/>
      <c r="AD28" s="65"/>
    </row>
    <row r="29" spans="1:30" ht="27.75" customHeight="1" x14ac:dyDescent="0.2">
      <c r="A29" s="60"/>
      <c r="B29" s="92">
        <v>7</v>
      </c>
      <c r="C29" s="341" t="s">
        <v>109</v>
      </c>
      <c r="D29" s="341"/>
      <c r="E29" s="341"/>
      <c r="F29" s="341"/>
      <c r="G29" s="341"/>
      <c r="H29" s="341"/>
      <c r="I29" s="341"/>
      <c r="J29" s="93" t="s">
        <v>120</v>
      </c>
      <c r="K29" s="94" t="s">
        <v>108</v>
      </c>
      <c r="L29" s="358"/>
      <c r="M29" s="359"/>
      <c r="N29" s="360"/>
      <c r="O29" s="61"/>
      <c r="P29" s="92">
        <v>7</v>
      </c>
      <c r="Q29" s="341"/>
      <c r="R29" s="341"/>
      <c r="S29" s="341"/>
      <c r="T29" s="341"/>
      <c r="U29" s="341"/>
      <c r="V29" s="341"/>
      <c r="W29" s="341"/>
      <c r="X29" s="341"/>
      <c r="Y29" s="341"/>
      <c r="Z29" s="344"/>
      <c r="AA29" s="93"/>
      <c r="AB29" s="93"/>
      <c r="AC29" s="98"/>
      <c r="AD29" s="65"/>
    </row>
    <row r="30" spans="1:30" ht="33" customHeight="1" x14ac:dyDescent="0.2">
      <c r="A30" s="60"/>
      <c r="B30" s="92">
        <v>8</v>
      </c>
      <c r="C30" s="341" t="s">
        <v>110</v>
      </c>
      <c r="D30" s="341"/>
      <c r="E30" s="341"/>
      <c r="F30" s="341"/>
      <c r="G30" s="341"/>
      <c r="H30" s="341"/>
      <c r="I30" s="341"/>
      <c r="J30" s="93" t="s">
        <v>121</v>
      </c>
      <c r="K30" s="94" t="s">
        <v>108</v>
      </c>
      <c r="L30" s="358"/>
      <c r="M30" s="359"/>
      <c r="N30" s="360"/>
      <c r="O30" s="61"/>
      <c r="P30" s="92">
        <v>8</v>
      </c>
      <c r="Q30" s="341"/>
      <c r="R30" s="341"/>
      <c r="S30" s="341"/>
      <c r="T30" s="341"/>
      <c r="U30" s="341"/>
      <c r="V30" s="341"/>
      <c r="W30" s="341"/>
      <c r="X30" s="341"/>
      <c r="Y30" s="341"/>
      <c r="Z30" s="344"/>
      <c r="AA30" s="93"/>
      <c r="AB30" s="93"/>
      <c r="AC30" s="98"/>
      <c r="AD30" s="65"/>
    </row>
    <row r="31" spans="1:30" ht="27.75" customHeight="1" x14ac:dyDescent="0.2">
      <c r="A31" s="60"/>
      <c r="B31" s="92">
        <v>9</v>
      </c>
      <c r="C31" s="99"/>
      <c r="D31" s="99"/>
      <c r="E31" s="99"/>
      <c r="F31" s="99"/>
      <c r="G31" s="99"/>
      <c r="H31" s="99"/>
      <c r="I31" s="99"/>
      <c r="J31" s="96"/>
      <c r="K31" s="100"/>
      <c r="L31" s="101"/>
      <c r="M31" s="102"/>
      <c r="N31" s="103"/>
      <c r="O31" s="61"/>
      <c r="P31" s="92">
        <v>9</v>
      </c>
      <c r="Q31" s="99"/>
      <c r="R31" s="99"/>
      <c r="S31" s="99"/>
      <c r="T31" s="99"/>
      <c r="U31" s="99"/>
      <c r="V31" s="99"/>
      <c r="W31" s="99"/>
      <c r="X31" s="99"/>
      <c r="Y31" s="99"/>
      <c r="Z31" s="104"/>
      <c r="AA31" s="96"/>
      <c r="AB31" s="96"/>
      <c r="AC31" s="103"/>
      <c r="AD31" s="65"/>
    </row>
    <row r="32" spans="1:30" ht="27.75" customHeight="1" x14ac:dyDescent="0.2">
      <c r="A32" s="60"/>
      <c r="B32" s="92">
        <v>10</v>
      </c>
      <c r="C32" s="99"/>
      <c r="D32" s="99"/>
      <c r="E32" s="99"/>
      <c r="F32" s="99"/>
      <c r="G32" s="99"/>
      <c r="H32" s="99"/>
      <c r="I32" s="99"/>
      <c r="J32" s="96"/>
      <c r="K32" s="100"/>
      <c r="L32" s="101"/>
      <c r="M32" s="102"/>
      <c r="N32" s="103"/>
      <c r="O32" s="61"/>
      <c r="P32" s="92">
        <v>10</v>
      </c>
      <c r="Q32" s="99"/>
      <c r="R32" s="99"/>
      <c r="S32" s="99"/>
      <c r="T32" s="99"/>
      <c r="U32" s="99"/>
      <c r="V32" s="99"/>
      <c r="W32" s="99"/>
      <c r="X32" s="99"/>
      <c r="Y32" s="99"/>
      <c r="Z32" s="104"/>
      <c r="AA32" s="96"/>
      <c r="AB32" s="96"/>
      <c r="AC32" s="103"/>
      <c r="AD32" s="65"/>
    </row>
    <row r="33" spans="1:30" ht="27.75" customHeight="1" thickBot="1" x14ac:dyDescent="0.25">
      <c r="A33" s="60"/>
      <c r="B33" s="92">
        <v>11</v>
      </c>
      <c r="C33" s="372"/>
      <c r="D33" s="372"/>
      <c r="E33" s="372"/>
      <c r="F33" s="372"/>
      <c r="G33" s="372"/>
      <c r="H33" s="372"/>
      <c r="I33" s="372"/>
      <c r="J33" s="105"/>
      <c r="K33" s="106"/>
      <c r="L33" s="373"/>
      <c r="M33" s="372"/>
      <c r="N33" s="374"/>
      <c r="O33" s="61"/>
      <c r="P33" s="92">
        <v>11</v>
      </c>
      <c r="Q33" s="372"/>
      <c r="R33" s="372"/>
      <c r="S33" s="372"/>
      <c r="T33" s="372"/>
      <c r="U33" s="372"/>
      <c r="V33" s="372"/>
      <c r="W33" s="372"/>
      <c r="X33" s="372"/>
      <c r="Y33" s="372"/>
      <c r="Z33" s="375"/>
      <c r="AA33" s="105"/>
      <c r="AB33" s="105"/>
      <c r="AC33" s="107"/>
      <c r="AD33" s="65"/>
    </row>
    <row r="34" spans="1:30" ht="5.25" customHeight="1" thickBot="1" x14ac:dyDescent="0.25">
      <c r="A34" s="60"/>
      <c r="B34" s="61"/>
      <c r="C34" s="61"/>
      <c r="D34" s="61"/>
      <c r="E34" s="61"/>
      <c r="F34" s="61"/>
      <c r="G34" s="61"/>
      <c r="H34" s="61"/>
      <c r="I34" s="61"/>
      <c r="J34" s="61"/>
      <c r="K34" s="61"/>
      <c r="L34" s="61"/>
      <c r="M34" s="61"/>
      <c r="N34" s="66"/>
      <c r="O34" s="66"/>
      <c r="P34" s="66"/>
      <c r="Q34" s="66"/>
      <c r="R34" s="61"/>
      <c r="S34" s="61"/>
      <c r="T34" s="61"/>
      <c r="U34" s="61"/>
      <c r="V34" s="61"/>
      <c r="W34" s="61"/>
      <c r="X34" s="61"/>
      <c r="Y34" s="61"/>
      <c r="Z34" s="61"/>
      <c r="AA34" s="61"/>
      <c r="AB34" s="61"/>
      <c r="AC34" s="61"/>
      <c r="AD34" s="65"/>
    </row>
    <row r="35" spans="1:30" ht="29.25" customHeight="1" thickBot="1" x14ac:dyDescent="0.25">
      <c r="A35" s="60"/>
      <c r="B35" s="361" t="s">
        <v>111</v>
      </c>
      <c r="C35" s="362"/>
      <c r="D35" s="362"/>
      <c r="E35" s="362"/>
      <c r="F35" s="363"/>
      <c r="G35" s="363"/>
      <c r="H35" s="364"/>
      <c r="I35" s="108"/>
      <c r="J35" s="109"/>
      <c r="K35" s="110" t="s">
        <v>112</v>
      </c>
      <c r="L35" s="365" t="s">
        <v>113</v>
      </c>
      <c r="M35" s="323"/>
      <c r="N35" s="321"/>
      <c r="O35" s="66"/>
      <c r="P35" s="111" t="s">
        <v>111</v>
      </c>
      <c r="Q35" s="108"/>
      <c r="R35" s="108"/>
      <c r="S35" s="108"/>
      <c r="T35" s="108"/>
      <c r="U35" s="108"/>
      <c r="V35" s="108"/>
      <c r="W35" s="108"/>
      <c r="X35" s="108"/>
      <c r="Y35" s="108"/>
      <c r="Z35" s="112"/>
      <c r="AA35" s="113" t="s">
        <v>112</v>
      </c>
      <c r="AB35" s="365" t="s">
        <v>113</v>
      </c>
      <c r="AC35" s="321"/>
      <c r="AD35" s="65"/>
    </row>
    <row r="36" spans="1:30" ht="24.9" customHeight="1" x14ac:dyDescent="0.2">
      <c r="A36" s="60"/>
      <c r="B36" s="114">
        <v>1</v>
      </c>
      <c r="C36" s="366"/>
      <c r="D36" s="366"/>
      <c r="E36" s="366"/>
      <c r="F36" s="366"/>
      <c r="G36" s="366"/>
      <c r="H36" s="366"/>
      <c r="I36" s="366"/>
      <c r="J36" s="367"/>
      <c r="K36" s="115"/>
      <c r="L36" s="368"/>
      <c r="M36" s="366"/>
      <c r="N36" s="369"/>
      <c r="O36" s="66"/>
      <c r="P36" s="114">
        <v>1</v>
      </c>
      <c r="Q36" s="370"/>
      <c r="R36" s="370"/>
      <c r="S36" s="370"/>
      <c r="T36" s="370"/>
      <c r="U36" s="370"/>
      <c r="V36" s="370"/>
      <c r="W36" s="370"/>
      <c r="X36" s="370"/>
      <c r="Y36" s="370"/>
      <c r="Z36" s="371"/>
      <c r="AA36" s="115"/>
      <c r="AB36" s="368"/>
      <c r="AC36" s="369"/>
      <c r="AD36" s="65"/>
    </row>
    <row r="37" spans="1:30" ht="24.9" customHeight="1" x14ac:dyDescent="0.2">
      <c r="A37" s="60"/>
      <c r="B37" s="116">
        <v>2</v>
      </c>
      <c r="C37" s="376"/>
      <c r="D37" s="376"/>
      <c r="E37" s="376"/>
      <c r="F37" s="376"/>
      <c r="G37" s="376"/>
      <c r="H37" s="376"/>
      <c r="I37" s="376"/>
      <c r="J37" s="377"/>
      <c r="K37" s="117"/>
      <c r="L37" s="378"/>
      <c r="M37" s="376"/>
      <c r="N37" s="379"/>
      <c r="O37" s="66"/>
      <c r="P37" s="116">
        <v>2</v>
      </c>
      <c r="Q37" s="376"/>
      <c r="R37" s="376"/>
      <c r="S37" s="376"/>
      <c r="T37" s="376"/>
      <c r="U37" s="376"/>
      <c r="V37" s="376"/>
      <c r="W37" s="376"/>
      <c r="X37" s="376"/>
      <c r="Y37" s="376"/>
      <c r="Z37" s="377"/>
      <c r="AA37" s="118"/>
      <c r="AB37" s="378"/>
      <c r="AC37" s="379"/>
      <c r="AD37" s="65"/>
    </row>
    <row r="38" spans="1:30" ht="24.9" customHeight="1" x14ac:dyDescent="0.2">
      <c r="A38" s="60"/>
      <c r="B38" s="116">
        <v>3</v>
      </c>
      <c r="C38" s="376"/>
      <c r="D38" s="376"/>
      <c r="E38" s="376"/>
      <c r="F38" s="376"/>
      <c r="G38" s="376"/>
      <c r="H38" s="376"/>
      <c r="I38" s="376"/>
      <c r="J38" s="377"/>
      <c r="K38" s="117"/>
      <c r="L38" s="378"/>
      <c r="M38" s="376"/>
      <c r="N38" s="379"/>
      <c r="O38" s="66"/>
      <c r="P38" s="116">
        <v>3</v>
      </c>
      <c r="Q38" s="376"/>
      <c r="R38" s="376"/>
      <c r="S38" s="376"/>
      <c r="T38" s="376"/>
      <c r="U38" s="376"/>
      <c r="V38" s="376"/>
      <c r="W38" s="376"/>
      <c r="X38" s="376"/>
      <c r="Y38" s="376"/>
      <c r="Z38" s="377"/>
      <c r="AA38" s="118"/>
      <c r="AB38" s="378"/>
      <c r="AC38" s="379"/>
      <c r="AD38" s="65"/>
    </row>
    <row r="39" spans="1:30" ht="24.9" customHeight="1" x14ac:dyDescent="0.2">
      <c r="A39" s="60"/>
      <c r="B39" s="116">
        <v>4</v>
      </c>
      <c r="C39" s="376"/>
      <c r="D39" s="376"/>
      <c r="E39" s="376"/>
      <c r="F39" s="376"/>
      <c r="G39" s="376"/>
      <c r="H39" s="376"/>
      <c r="I39" s="376"/>
      <c r="J39" s="377"/>
      <c r="K39" s="117"/>
      <c r="L39" s="378"/>
      <c r="M39" s="376"/>
      <c r="N39" s="379"/>
      <c r="O39" s="66"/>
      <c r="P39" s="116">
        <v>4</v>
      </c>
      <c r="Q39" s="376"/>
      <c r="R39" s="376"/>
      <c r="S39" s="376"/>
      <c r="T39" s="376"/>
      <c r="U39" s="376"/>
      <c r="V39" s="376"/>
      <c r="W39" s="376"/>
      <c r="X39" s="376"/>
      <c r="Y39" s="376"/>
      <c r="Z39" s="377"/>
      <c r="AA39" s="119"/>
      <c r="AB39" s="378"/>
      <c r="AC39" s="379"/>
      <c r="AD39" s="65"/>
    </row>
    <row r="40" spans="1:30" ht="24.9" customHeight="1" x14ac:dyDescent="0.2">
      <c r="A40" s="60"/>
      <c r="B40" s="116">
        <v>5</v>
      </c>
      <c r="C40" s="376"/>
      <c r="D40" s="376"/>
      <c r="E40" s="376"/>
      <c r="F40" s="376"/>
      <c r="G40" s="376"/>
      <c r="H40" s="376"/>
      <c r="I40" s="376"/>
      <c r="J40" s="377"/>
      <c r="K40" s="118"/>
      <c r="L40" s="378"/>
      <c r="M40" s="376"/>
      <c r="N40" s="379"/>
      <c r="O40" s="66"/>
      <c r="P40" s="116">
        <v>5</v>
      </c>
      <c r="Q40" s="380"/>
      <c r="R40" s="380"/>
      <c r="S40" s="380"/>
      <c r="T40" s="380"/>
      <c r="U40" s="380"/>
      <c r="V40" s="380"/>
      <c r="W40" s="380"/>
      <c r="X40" s="380"/>
      <c r="Y40" s="380"/>
      <c r="Z40" s="381"/>
      <c r="AA40" s="118"/>
      <c r="AB40" s="378"/>
      <c r="AC40" s="379"/>
      <c r="AD40" s="65"/>
    </row>
    <row r="41" spans="1:30" ht="24.9" customHeight="1" x14ac:dyDescent="0.2">
      <c r="A41" s="60"/>
      <c r="B41" s="116">
        <v>6</v>
      </c>
      <c r="C41" s="376"/>
      <c r="D41" s="376"/>
      <c r="E41" s="376"/>
      <c r="F41" s="376"/>
      <c r="G41" s="376"/>
      <c r="H41" s="376"/>
      <c r="I41" s="376"/>
      <c r="J41" s="377"/>
      <c r="K41" s="118"/>
      <c r="L41" s="378"/>
      <c r="M41" s="376"/>
      <c r="N41" s="379"/>
      <c r="O41" s="66"/>
      <c r="P41" s="116">
        <v>6</v>
      </c>
      <c r="Q41" s="380"/>
      <c r="R41" s="380"/>
      <c r="S41" s="380"/>
      <c r="T41" s="380"/>
      <c r="U41" s="380"/>
      <c r="V41" s="380"/>
      <c r="W41" s="380"/>
      <c r="X41" s="380"/>
      <c r="Y41" s="380"/>
      <c r="Z41" s="381"/>
      <c r="AA41" s="118"/>
      <c r="AB41" s="378"/>
      <c r="AC41" s="379"/>
      <c r="AD41" s="65"/>
    </row>
    <row r="42" spans="1:30" ht="24.9" customHeight="1" thickBot="1" x14ac:dyDescent="0.25">
      <c r="A42" s="60"/>
      <c r="B42" s="120">
        <v>7</v>
      </c>
      <c r="C42" s="391"/>
      <c r="D42" s="391"/>
      <c r="E42" s="391"/>
      <c r="F42" s="391"/>
      <c r="G42" s="391"/>
      <c r="H42" s="391"/>
      <c r="I42" s="391"/>
      <c r="J42" s="392"/>
      <c r="K42" s="121"/>
      <c r="L42" s="393"/>
      <c r="M42" s="391"/>
      <c r="N42" s="394"/>
      <c r="O42" s="66"/>
      <c r="P42" s="120">
        <v>7</v>
      </c>
      <c r="Q42" s="395"/>
      <c r="R42" s="395"/>
      <c r="S42" s="395"/>
      <c r="T42" s="395"/>
      <c r="U42" s="395"/>
      <c r="V42" s="395"/>
      <c r="W42" s="395"/>
      <c r="X42" s="395"/>
      <c r="Y42" s="395"/>
      <c r="Z42" s="396"/>
      <c r="AA42" s="121"/>
      <c r="AB42" s="393"/>
      <c r="AC42" s="394"/>
      <c r="AD42" s="65"/>
    </row>
    <row r="43" spans="1:30" ht="24.9" customHeight="1" thickBot="1" x14ac:dyDescent="0.25">
      <c r="A43" s="60"/>
      <c r="B43" s="122"/>
      <c r="C43" s="123"/>
      <c r="D43" s="123"/>
      <c r="E43" s="123"/>
      <c r="F43" s="123"/>
      <c r="G43" s="123"/>
      <c r="H43" s="123"/>
      <c r="I43" s="123"/>
      <c r="J43" s="123"/>
      <c r="K43" s="124"/>
      <c r="L43" s="123"/>
      <c r="M43" s="123"/>
      <c r="N43" s="123"/>
      <c r="O43" s="66"/>
      <c r="P43" s="122"/>
      <c r="Q43" s="125"/>
      <c r="R43" s="125"/>
      <c r="S43" s="125"/>
      <c r="T43" s="125"/>
      <c r="U43" s="125"/>
      <c r="V43" s="125"/>
      <c r="W43" s="125"/>
      <c r="X43" s="125"/>
      <c r="Y43" s="125"/>
      <c r="Z43" s="125"/>
      <c r="AA43" s="124"/>
      <c r="AB43" s="123"/>
      <c r="AC43" s="123"/>
      <c r="AD43" s="65"/>
    </row>
    <row r="44" spans="1:30" ht="24.9" customHeight="1" x14ac:dyDescent="0.2">
      <c r="A44" s="60"/>
      <c r="B44" s="382" t="s">
        <v>114</v>
      </c>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c r="AA44" s="383"/>
      <c r="AB44" s="383"/>
      <c r="AC44" s="384"/>
      <c r="AD44" s="65"/>
    </row>
    <row r="45" spans="1:30" ht="24.9" customHeight="1" x14ac:dyDescent="0.2">
      <c r="A45" s="60"/>
      <c r="B45" s="385"/>
      <c r="C45" s="386"/>
      <c r="D45" s="386"/>
      <c r="E45" s="386"/>
      <c r="F45" s="386"/>
      <c r="G45" s="386"/>
      <c r="H45" s="386"/>
      <c r="I45" s="386"/>
      <c r="J45" s="386"/>
      <c r="K45" s="386"/>
      <c r="L45" s="386"/>
      <c r="M45" s="386"/>
      <c r="N45" s="386"/>
      <c r="O45" s="386"/>
      <c r="P45" s="386"/>
      <c r="Q45" s="386"/>
      <c r="R45" s="386"/>
      <c r="S45" s="386"/>
      <c r="T45" s="386"/>
      <c r="U45" s="386"/>
      <c r="V45" s="386"/>
      <c r="W45" s="386"/>
      <c r="X45" s="386"/>
      <c r="Y45" s="386"/>
      <c r="Z45" s="386"/>
      <c r="AA45" s="386"/>
      <c r="AB45" s="386"/>
      <c r="AC45" s="387"/>
      <c r="AD45" s="65"/>
    </row>
    <row r="46" spans="1:30" ht="24.9" customHeight="1" x14ac:dyDescent="0.2">
      <c r="A46" s="60"/>
      <c r="B46" s="385"/>
      <c r="C46" s="386"/>
      <c r="D46" s="386"/>
      <c r="E46" s="386"/>
      <c r="F46" s="386"/>
      <c r="G46" s="386"/>
      <c r="H46" s="386"/>
      <c r="I46" s="386"/>
      <c r="J46" s="386"/>
      <c r="K46" s="386"/>
      <c r="L46" s="386"/>
      <c r="M46" s="386"/>
      <c r="N46" s="386"/>
      <c r="O46" s="386"/>
      <c r="P46" s="386"/>
      <c r="Q46" s="386"/>
      <c r="R46" s="386"/>
      <c r="S46" s="386"/>
      <c r="T46" s="386"/>
      <c r="U46" s="386"/>
      <c r="V46" s="386"/>
      <c r="W46" s="386"/>
      <c r="X46" s="386"/>
      <c r="Y46" s="386"/>
      <c r="Z46" s="386"/>
      <c r="AA46" s="386"/>
      <c r="AB46" s="386"/>
      <c r="AC46" s="387"/>
      <c r="AD46" s="65"/>
    </row>
    <row r="47" spans="1:30" ht="24.9" customHeight="1" x14ac:dyDescent="0.2">
      <c r="A47" s="60"/>
      <c r="B47" s="385"/>
      <c r="C47" s="386"/>
      <c r="D47" s="386"/>
      <c r="E47" s="386"/>
      <c r="F47" s="386"/>
      <c r="G47" s="386"/>
      <c r="H47" s="386"/>
      <c r="I47" s="386"/>
      <c r="J47" s="386"/>
      <c r="K47" s="386"/>
      <c r="L47" s="386"/>
      <c r="M47" s="386"/>
      <c r="N47" s="386"/>
      <c r="O47" s="386"/>
      <c r="P47" s="386"/>
      <c r="Q47" s="386"/>
      <c r="R47" s="386"/>
      <c r="S47" s="386"/>
      <c r="T47" s="386"/>
      <c r="U47" s="386"/>
      <c r="V47" s="386"/>
      <c r="W47" s="386"/>
      <c r="X47" s="386"/>
      <c r="Y47" s="386"/>
      <c r="Z47" s="386"/>
      <c r="AA47" s="386"/>
      <c r="AB47" s="386"/>
      <c r="AC47" s="387"/>
      <c r="AD47" s="65"/>
    </row>
    <row r="48" spans="1:30" ht="24.9" customHeight="1" x14ac:dyDescent="0.2">
      <c r="A48" s="60"/>
      <c r="B48" s="385"/>
      <c r="C48" s="386"/>
      <c r="D48" s="386"/>
      <c r="E48" s="386"/>
      <c r="F48" s="386"/>
      <c r="G48" s="386"/>
      <c r="H48" s="386"/>
      <c r="I48" s="386"/>
      <c r="J48" s="386"/>
      <c r="K48" s="386"/>
      <c r="L48" s="386"/>
      <c r="M48" s="386"/>
      <c r="N48" s="386"/>
      <c r="O48" s="386"/>
      <c r="P48" s="386"/>
      <c r="Q48" s="386"/>
      <c r="R48" s="386"/>
      <c r="S48" s="386"/>
      <c r="T48" s="386"/>
      <c r="U48" s="386"/>
      <c r="V48" s="386"/>
      <c r="W48" s="386"/>
      <c r="X48" s="386"/>
      <c r="Y48" s="386"/>
      <c r="Z48" s="386"/>
      <c r="AA48" s="386"/>
      <c r="AB48" s="386"/>
      <c r="AC48" s="387"/>
      <c r="AD48" s="65"/>
    </row>
    <row r="49" spans="1:30" ht="15.75" customHeight="1" thickBot="1" x14ac:dyDescent="0.25">
      <c r="A49" s="60"/>
      <c r="B49" s="388"/>
      <c r="C49" s="389"/>
      <c r="D49" s="389"/>
      <c r="E49" s="389"/>
      <c r="F49" s="389"/>
      <c r="G49" s="389"/>
      <c r="H49" s="389"/>
      <c r="I49" s="389"/>
      <c r="J49" s="389"/>
      <c r="K49" s="389"/>
      <c r="L49" s="389"/>
      <c r="M49" s="389"/>
      <c r="N49" s="389"/>
      <c r="O49" s="389"/>
      <c r="P49" s="389"/>
      <c r="Q49" s="389"/>
      <c r="R49" s="389"/>
      <c r="S49" s="389"/>
      <c r="T49" s="389"/>
      <c r="U49" s="389"/>
      <c r="V49" s="389"/>
      <c r="W49" s="389"/>
      <c r="X49" s="389"/>
      <c r="Y49" s="389"/>
      <c r="Z49" s="389"/>
      <c r="AA49" s="389"/>
      <c r="AB49" s="389"/>
      <c r="AC49" s="390"/>
      <c r="AD49" s="65"/>
    </row>
    <row r="50" spans="1:30" ht="29.25" customHeight="1" thickBot="1" x14ac:dyDescent="0.25">
      <c r="A50" s="126"/>
      <c r="B50" s="127"/>
      <c r="C50" s="127"/>
      <c r="D50" s="127"/>
      <c r="E50" s="127"/>
      <c r="F50" s="127"/>
      <c r="G50" s="127"/>
      <c r="H50" s="127"/>
      <c r="I50" s="127"/>
      <c r="J50" s="127"/>
      <c r="K50" s="127"/>
      <c r="L50" s="127"/>
      <c r="M50" s="128"/>
      <c r="N50" s="128"/>
      <c r="O50" s="128"/>
      <c r="P50" s="128"/>
      <c r="Q50" s="128"/>
      <c r="R50" s="128"/>
      <c r="S50" s="128"/>
      <c r="T50" s="128"/>
      <c r="U50" s="128"/>
      <c r="V50" s="128"/>
      <c r="W50" s="128"/>
      <c r="X50" s="128"/>
      <c r="Y50" s="128"/>
      <c r="Z50" s="127"/>
      <c r="AA50" s="127"/>
      <c r="AB50" s="127"/>
      <c r="AC50" s="127"/>
      <c r="AD50" s="129"/>
    </row>
    <row r="51" spans="1:30" ht="5.25" customHeight="1" x14ac:dyDescent="0.2"/>
    <row r="52" spans="1:30" ht="10.5" customHeight="1" x14ac:dyDescent="0.2"/>
  </sheetData>
  <mergeCells count="103">
    <mergeCell ref="B44:AC49"/>
    <mergeCell ref="C41:J41"/>
    <mergeCell ref="L41:N41"/>
    <mergeCell ref="Q41:Z41"/>
    <mergeCell ref="AB41:AC41"/>
    <mergeCell ref="C42:J42"/>
    <mergeCell ref="L42:N42"/>
    <mergeCell ref="Q42:Z42"/>
    <mergeCell ref="AB42:AC42"/>
    <mergeCell ref="C39:J39"/>
    <mergeCell ref="L39:N39"/>
    <mergeCell ref="Q39:Z39"/>
    <mergeCell ref="AB39:AC39"/>
    <mergeCell ref="C40:J40"/>
    <mergeCell ref="L40:N40"/>
    <mergeCell ref="Q40:Z40"/>
    <mergeCell ref="AB40:AC40"/>
    <mergeCell ref="C37:J37"/>
    <mergeCell ref="L37:N37"/>
    <mergeCell ref="Q37:Z37"/>
    <mergeCell ref="AB37:AC37"/>
    <mergeCell ref="C38:J38"/>
    <mergeCell ref="L38:N38"/>
    <mergeCell ref="Q38:Z38"/>
    <mergeCell ref="AB38:AC38"/>
    <mergeCell ref="B35:H35"/>
    <mergeCell ref="L35:N35"/>
    <mergeCell ref="AB35:AC35"/>
    <mergeCell ref="C36:J36"/>
    <mergeCell ref="L36:N36"/>
    <mergeCell ref="Q36:Z36"/>
    <mergeCell ref="AB36:AC36"/>
    <mergeCell ref="C30:I30"/>
    <mergeCell ref="L30:N30"/>
    <mergeCell ref="Q30:Z30"/>
    <mergeCell ref="C33:I33"/>
    <mergeCell ref="L33:N33"/>
    <mergeCell ref="Q33:Z33"/>
    <mergeCell ref="C28:I28"/>
    <mergeCell ref="L28:N28"/>
    <mergeCell ref="Q28:Z28"/>
    <mergeCell ref="C29:I29"/>
    <mergeCell ref="L29:N29"/>
    <mergeCell ref="Q29:Z29"/>
    <mergeCell ref="C26:I26"/>
    <mergeCell ref="L26:N26"/>
    <mergeCell ref="Q26:Z26"/>
    <mergeCell ref="C27:I27"/>
    <mergeCell ref="L27:N27"/>
    <mergeCell ref="Q27:Z27"/>
    <mergeCell ref="C24:I24"/>
    <mergeCell ref="L24:N24"/>
    <mergeCell ref="Q24:Z24"/>
    <mergeCell ref="C25:I25"/>
    <mergeCell ref="L25:N25"/>
    <mergeCell ref="Q25:Z25"/>
    <mergeCell ref="C20:H20"/>
    <mergeCell ref="C21:H21"/>
    <mergeCell ref="B22:I22"/>
    <mergeCell ref="L22:N22"/>
    <mergeCell ref="P22:Z22"/>
    <mergeCell ref="C23:I23"/>
    <mergeCell ref="L23:N23"/>
    <mergeCell ref="Q23:Z23"/>
    <mergeCell ref="C18:H18"/>
    <mergeCell ref="K18:M18"/>
    <mergeCell ref="P18:Q18"/>
    <mergeCell ref="R18:T18"/>
    <mergeCell ref="C19:H19"/>
    <mergeCell ref="S19:T19"/>
    <mergeCell ref="C16:H16"/>
    <mergeCell ref="Y16:AC16"/>
    <mergeCell ref="C17:H17"/>
    <mergeCell ref="K17:M17"/>
    <mergeCell ref="P17:T17"/>
    <mergeCell ref="Y17:AC17"/>
    <mergeCell ref="C13:H13"/>
    <mergeCell ref="Y13:AC13"/>
    <mergeCell ref="C14:H14"/>
    <mergeCell ref="Y14:AC14"/>
    <mergeCell ref="C15:H15"/>
    <mergeCell ref="Y15:AC15"/>
    <mergeCell ref="C9:H9"/>
    <mergeCell ref="N9:Q12"/>
    <mergeCell ref="Y9:AC9"/>
    <mergeCell ref="C10:H10"/>
    <mergeCell ref="Y10:AC10"/>
    <mergeCell ref="C11:H11"/>
    <mergeCell ref="Y11:AC11"/>
    <mergeCell ref="C12:H12"/>
    <mergeCell ref="Y12:AC12"/>
    <mergeCell ref="J5:N6"/>
    <mergeCell ref="O5:U6"/>
    <mergeCell ref="B7:H7"/>
    <mergeCell ref="X7:AC7"/>
    <mergeCell ref="C8:H8"/>
    <mergeCell ref="Y8:AC8"/>
    <mergeCell ref="B2:C2"/>
    <mergeCell ref="D2:H2"/>
    <mergeCell ref="AB2:AC2"/>
    <mergeCell ref="B4:C4"/>
    <mergeCell ref="D4:H4"/>
    <mergeCell ref="W4:Z4"/>
  </mergeCells>
  <dataValidations count="1">
    <dataValidation type="list" allowBlank="1" showInputMessage="1" showErrorMessage="1" sqref="D4:H4">
      <formula1>"Effective, Ineffective,         "</formula1>
    </dataValidation>
  </dataValidations>
  <pageMargins left="0.21" right="0.21" top="0.42" bottom="0.47" header="0.32" footer="0.18"/>
  <pageSetup paperSize="9" scale="50" orientation="landscape" r:id="rId1"/>
  <headerFooter alignWithMargins="0">
    <oddFooter>&amp;L&amp;9PRO.007.02&amp;C&amp;9BHP Billiton Group Level Document&amp;10
&amp;R&amp;9Page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Cover Page</vt:lpstr>
      <vt:lpstr>References</vt:lpstr>
      <vt:lpstr>RISK ASSESSMENT</vt:lpstr>
      <vt:lpstr>Risk reduction action plan</vt:lpstr>
      <vt:lpstr>GLD.017 Risk matrix</vt:lpstr>
      <vt:lpstr>BowTie - Example</vt:lpstr>
      <vt:lpstr>'BowTie - Example'!Print_Area</vt:lpstr>
      <vt:lpstr>'RISK ASSESSMENT'!Print_Area</vt:lpstr>
      <vt:lpstr>'RISK ASSESSMENT'!Print_Titles</vt:lpstr>
    </vt:vector>
  </TitlesOfParts>
  <Company>BHPBIO</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WAIO Formal Risk Assessment Form</dc:title>
  <dc:subject>WAIO Formal Risk Assessment Form</dc:subject>
  <dc:creator>Richard Kern</dc:creator>
  <cp:keywords>WAIO Formal Risk Assessment Form</cp:keywords>
  <cp:lastModifiedBy>Mackay, Susan</cp:lastModifiedBy>
  <cp:lastPrinted>2017-04-19T01:16:34Z</cp:lastPrinted>
  <dcterms:created xsi:type="dcterms:W3CDTF">2002-08-19T07:01:01Z</dcterms:created>
  <dcterms:modified xsi:type="dcterms:W3CDTF">2017-06-22T03:29:39Z</dcterms:modified>
</cp:coreProperties>
</file>