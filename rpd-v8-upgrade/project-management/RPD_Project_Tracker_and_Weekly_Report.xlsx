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ject Tracker" sheetId="1" state="visible" r:id="rId3"/>
    <sheet name="Weekly Status Report" sheetId="2" state="visible" r:id="rId4"/>
    <sheet name="Progress Log" sheetId="3" state="visible" r:id="rId5"/>
  </sheets>
  <definedNames>
    <definedName function="false" hidden="false" localSheetId="2" name="_xlnm.Print_Area" vbProcedure="false">'Progress Log'!$A$1:$G$29</definedName>
    <definedName function="false" hidden="false" localSheetId="0" name="_xlnm.Print_Area" vbProcedure="false">'Project Tracker'!$A$1:$J$28</definedName>
    <definedName function="false" hidden="false" localSheetId="1" name="_xlnm.Print_Area" vbProcedure="false">'Weekly Status Report'!$A$1:$F$39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<sst xmlns="http://schemas.openxmlformats.org/spreadsheetml/2006/main" count="478" uniqueCount="273">
  <si>
    <t xml:space="preserve">RPD WHS SYSTEM UPGRADE AND BREADCRUMB MIGRATION — PROJECT TRACKER</t>
  </si>
  <si>
    <t xml:space="preserve">Client: Robertson's Remedial and Painting Pty Ltd  |  Alan @ AuditCo  |  Project Start: February 2026</t>
  </si>
  <si>
    <t xml:space="preserve">Phase</t>
  </si>
  <si>
    <t xml:space="preserve">Task</t>
  </si>
  <si>
    <t xml:space="preserve">Owner</t>
  </si>
  <si>
    <t xml:space="preserve">Target Date</t>
  </si>
  <si>
    <t xml:space="preserve">Status</t>
  </si>
  <si>
    <t xml:space="preserve">% Complete</t>
  </si>
  <si>
    <t xml:space="preserve">Depends On</t>
  </si>
  <si>
    <t xml:space="preserve">Deliverable</t>
  </si>
  <si>
    <t xml:space="preserve">Notes</t>
  </si>
  <si>
    <t xml:space="preserve">Week Updated</t>
  </si>
  <si>
    <t xml:space="preserve">Est. Hours</t>
  </si>
  <si>
    <t xml:space="preserve">Actual Hours</t>
  </si>
  <si>
    <t xml:space="preserve">Cumulative Hrs</t>
  </si>
  <si>
    <t xml:space="preserve">1</t>
  </si>
  <si>
    <t xml:space="preserve">Gap analysis: RPD WHSMS V7 vs Ed.6 bare minimum</t>
  </si>
  <si>
    <t xml:space="preserve">Alan</t>
  </si>
  <si>
    <t xml:space="preserve">14 Feb 2026</t>
  </si>
  <si>
    <t xml:space="preserve">DONE</t>
  </si>
  <si>
    <t xml:space="preserve">100%</t>
  </si>
  <si>
    <t xml:space="preserve">—</t>
  </si>
  <si>
    <t xml:space="preserve">Bare Minimum Ed.6 Review (.docx)</t>
  </si>
  <si>
    <t xml:space="preserve">Both ISO and bare minimum versions delivered.</t>
  </si>
  <si>
    <t xml:space="preserve">Wk 2</t>
  </si>
  <si>
    <t xml:space="preserve">Document register: map every V7 form/register to status</t>
  </si>
  <si>
    <t xml:space="preserve">Gap analysis</t>
  </si>
  <si>
    <t xml:space="preserve">Phase 1 Document Register (.xlsx)</t>
  </si>
  <si>
    <t xml:space="preserve">40 items mapped. Breadcrumb checklist included.</t>
  </si>
  <si>
    <t xml:space="preserve">SWMS consolidation traceability map</t>
  </si>
  <si>
    <t xml:space="preserve">24 Feb 2026</t>
  </si>
  <si>
    <t xml:space="preserve">Traceability Map (.xlsx)</t>
  </si>
  <si>
    <t xml:space="preserve">46 docs → 15 docs. Full audit trail.</t>
  </si>
  <si>
    <t xml:space="preserve">Wk 4</t>
  </si>
  <si>
    <t xml:space="preserve">Demo procedures × 8</t>
  </si>
  <si>
    <t xml:space="preserve">8 procedure .docx files</t>
  </si>
  <si>
    <t xml:space="preserve">Before/During/After format. Benchmarked to HY.</t>
  </si>
  <si>
    <t xml:space="preserve">Project tracker, weekly report, repo setup</t>
  </si>
  <si>
    <t xml:space="preserve">Tracker (.xlsx), Git repo</t>
  </si>
  <si>
    <t xml:space="preserve">All deliverables pushed to Gatekeeper repo.</t>
  </si>
  <si>
    <t xml:space="preserve">Archive original SWIs and SWMS to repo</t>
  </si>
  <si>
    <t xml:space="preserve">Traceability map</t>
  </si>
  <si>
    <t xml:space="preserve">archive-originals/ folder</t>
  </si>
  <si>
    <t xml:space="preserve">Full traceability chain: originals → map → new.</t>
  </si>
  <si>
    <t xml:space="preserve">Breadcrumb verification: confirm module capabilities</t>
  </si>
  <si>
    <t xml:space="preserve">Alan + RPD</t>
  </si>
  <si>
    <t xml:space="preserve">28 Feb 2026</t>
  </si>
  <si>
    <t xml:space="preserve">NOT STARTED</t>
  </si>
  <si>
    <t xml:space="preserve">0%</t>
  </si>
  <si>
    <t xml:space="preserve">Document register</t>
  </si>
  <si>
    <t xml:space="preserve">Breadcrumb Verification Checklist</t>
  </si>
  <si>
    <t xml:space="preserve">Requires RPD Breadcrumb login. 15 modules.</t>
  </si>
  <si>
    <t xml:space="preserve">Present Phase 1 findings to RPD management</t>
  </si>
  <si>
    <t xml:space="preserve">7 Mar 2026</t>
  </si>
  <si>
    <t xml:space="preserve">Verification</t>
  </si>
  <si>
    <t xml:space="preserve">Meeting + status report</t>
  </si>
  <si>
    <t xml:space="preserve">Approve elimination list. Confirm SWMS-first approach.</t>
  </si>
  <si>
    <t xml:space="preserve">2B</t>
  </si>
  <si>
    <t xml:space="preserve">Master SWMS — Remedial Works</t>
  </si>
  <si>
    <t xml:space="preserve">14 Mar 2026</t>
  </si>
  <si>
    <t xml:space="preserve">Phase 1 sign-off</t>
  </si>
  <si>
    <t xml:space="preserve">Master SWMS (.docx)</t>
  </si>
  <si>
    <t xml:space="preserve">Absorbs 15 SWMS + 8 SWIs. Largest master.</t>
  </si>
  <si>
    <t xml:space="preserve">Master SWMS — Painting Works</t>
  </si>
  <si>
    <t xml:space="preserve">21 Mar 2026</t>
  </si>
  <si>
    <t xml:space="preserve">Remedial SWMS</t>
  </si>
  <si>
    <t xml:space="preserve">Absorbs 3 SWMS + 4 SWIs.</t>
  </si>
  <si>
    <t xml:space="preserve">Master SWMS — Spray Painting</t>
  </si>
  <si>
    <t xml:space="preserve">25 Mar 2026</t>
  </si>
  <si>
    <t xml:space="preserve">Painting SWMS</t>
  </si>
  <si>
    <t xml:space="preserve">Absorbs 3 SWMS + 3 SWIs.</t>
  </si>
  <si>
    <t xml:space="preserve">Master SWMS — Groundworks inc. Excavation &amp; Landscaping</t>
  </si>
  <si>
    <t xml:space="preserve">28 Mar 2026</t>
  </si>
  <si>
    <t xml:space="preserve">Spray SWMS</t>
  </si>
  <si>
    <t xml:space="preserve">Absorbs 5 SWMS + 3 SWIs.</t>
  </si>
  <si>
    <t xml:space="preserve">Master SWMS — Cladding Works</t>
  </si>
  <si>
    <t xml:space="preserve">1 Apr 2026</t>
  </si>
  <si>
    <t xml:space="preserve">Groundworks SWMS</t>
  </si>
  <si>
    <t xml:space="preserve">Absorbs 2 SWMS + 3 SWIs.</t>
  </si>
  <si>
    <t xml:space="preserve">Upgrade 10 Standalone SWMS (EWP, scaffold, swing stage etc)</t>
  </si>
  <si>
    <t xml:space="preserve">11 Apr 2026</t>
  </si>
  <si>
    <t xml:space="preserve">All Masters</t>
  </si>
  <si>
    <t xml:space="preserve">10 upgraded SWMS (.docx)</t>
  </si>
  <si>
    <t xml:space="preserve">Review, update to V8 format, benchmark to HY.</t>
  </si>
  <si>
    <t xml:space="preserve">RPD supervisor review of all SWMS</t>
  </si>
  <si>
    <t xml:space="preserve">RPD Supervisors</t>
  </si>
  <si>
    <t xml:space="preserve">25 Apr 2026</t>
  </si>
  <si>
    <t xml:space="preserve">All SWMS</t>
  </si>
  <si>
    <t xml:space="preserve">Signed-off SWMS register</t>
  </si>
  <si>
    <t xml:space="preserve">Allow 2 weeks for site supervisor review.</t>
  </si>
  <si>
    <t xml:space="preserve">2A</t>
  </si>
  <si>
    <t xml:space="preserve">Draft V8 Section 1: Senior Management Commitment</t>
  </si>
  <si>
    <t xml:space="preserve">2 May 2026</t>
  </si>
  <si>
    <t xml:space="preserve">SWMS complete</t>
  </si>
  <si>
    <t xml:space="preserve">V8 Section 1 (.docx)</t>
  </si>
  <si>
    <t xml:space="preserve">Merge policies. Remove ISO content. Plain English.</t>
  </si>
  <si>
    <t xml:space="preserve">Draft V8 Section 2: Communication &amp; Consultation</t>
  </si>
  <si>
    <t xml:space="preserve">6 May 2026</t>
  </si>
  <si>
    <t xml:space="preserve">Section 1</t>
  </si>
  <si>
    <t xml:space="preserve">V8 Section 2 (.docx)</t>
  </si>
  <si>
    <t xml:space="preserve">Add Breadcrumb references for toolbox talks.</t>
  </si>
  <si>
    <t xml:space="preserve">Draft V8 Section 3: Managing Service Providers</t>
  </si>
  <si>
    <t xml:space="preserve">9 May 2026</t>
  </si>
  <si>
    <t xml:space="preserve">Section 2</t>
  </si>
  <si>
    <t xml:space="preserve">V8 Section 3 (.docx)</t>
  </si>
  <si>
    <t xml:space="preserve">Streamline pre-qual. Breadcrumb contractor module.</t>
  </si>
  <si>
    <t xml:space="preserve">Draft V8 Section 4: Risk Management + Procedures</t>
  </si>
  <si>
    <t xml:space="preserve">16 May 2026</t>
  </si>
  <si>
    <t xml:space="preserve">Section 3</t>
  </si>
  <si>
    <t xml:space="preserve">V8 Section 4 + procedures (.docx)</t>
  </si>
  <si>
    <t xml:space="preserve">Merge policies+procedures. Largest section.</t>
  </si>
  <si>
    <t xml:space="preserve">Draft V8 Sections 5–11: Training through Records</t>
  </si>
  <si>
    <t xml:space="preserve">30 May 2026</t>
  </si>
  <si>
    <t xml:space="preserve">Section 4</t>
  </si>
  <si>
    <t xml:space="preserve">V8 Sections 5–11 (.docx)</t>
  </si>
  <si>
    <t xml:space="preserve">Merge incident + corrective action. Remove ISO inputs.</t>
  </si>
  <si>
    <t xml:space="preserve">RPD management review of V8 draft</t>
  </si>
  <si>
    <t xml:space="preserve">RPD Director</t>
  </si>
  <si>
    <t xml:space="preserve">13 Jun 2026</t>
  </si>
  <si>
    <t xml:space="preserve">All V8 drafts</t>
  </si>
  <si>
    <t xml:space="preserve">Marked-up draft + feedback</t>
  </si>
  <si>
    <t xml:space="preserve">Allow 2 weeks for Leslie to review.</t>
  </si>
  <si>
    <t xml:space="preserve">V8 revisions and final issue</t>
  </si>
  <si>
    <t xml:space="preserve">20 Jun 2026</t>
  </si>
  <si>
    <t xml:space="preserve">Mgmt review</t>
  </si>
  <si>
    <t xml:space="preserve">RPD WHSMS V8 (.docx + PDF)</t>
  </si>
  <si>
    <t xml:space="preserve">Target: 100–120 pages. Signed by Director.</t>
  </si>
  <si>
    <t xml:space="preserve">3</t>
  </si>
  <si>
    <t xml:space="preserve">Configure Breadcrumb: toolbox, hazards, inspections</t>
  </si>
  <si>
    <t xml:space="preserve">27 Jun 2026</t>
  </si>
  <si>
    <t xml:space="preserve">V8 issued</t>
  </si>
  <si>
    <t xml:space="preserve">Configured modules</t>
  </si>
  <si>
    <t xml:space="preserve">HIGH priority forms first.</t>
  </si>
  <si>
    <t xml:space="preserve">Configure Breadcrumb: inductions, competency tracking</t>
  </si>
  <si>
    <t xml:space="preserve">4 Jul 2026</t>
  </si>
  <si>
    <t xml:space="preserve">Config block 1</t>
  </si>
  <si>
    <t xml:space="preserve">Bulk import training/licence data.</t>
  </si>
  <si>
    <t xml:space="preserve">Configure Breadcrumb: incidents, corrective actions</t>
  </si>
  <si>
    <t xml:space="preserve">11 Jul 2026</t>
  </si>
  <si>
    <t xml:space="preserve">Config block 2</t>
  </si>
  <si>
    <t xml:space="preserve">Test auto-notify for notifiable incidents.</t>
  </si>
  <si>
    <t xml:space="preserve">Configure Breadcrumb: contractors, assets, SWMS</t>
  </si>
  <si>
    <t xml:space="preserve">18 Jul 2026</t>
  </si>
  <si>
    <t xml:space="preserve">Config block 3</t>
  </si>
  <si>
    <t xml:space="preserve">Bulk import registers. Upload all SWMS.</t>
  </si>
  <si>
    <t xml:space="preserve">Custom templates (Subcontractor Statement, RTW Plan)</t>
  </si>
  <si>
    <t xml:space="preserve">22 Jul 2026</t>
  </si>
  <si>
    <t xml:space="preserve">All config</t>
  </si>
  <si>
    <t xml:space="preserve">Custom Breadcrumb templates</t>
  </si>
  <si>
    <t xml:space="preserve">Only if Breadcrumb can't handle natively.</t>
  </si>
  <si>
    <t xml:space="preserve">Parallel run: paper + Breadcrumb (4–8 weeks)</t>
  </si>
  <si>
    <t xml:space="preserve">RPD site teams</t>
  </si>
  <si>
    <t xml:space="preserve">29 Aug 2026</t>
  </si>
  <si>
    <t xml:space="preserve">Parallel run log</t>
  </si>
  <si>
    <t xml:space="preserve">4 weeks HIGH priority, 8 weeks registers.</t>
  </si>
  <si>
    <t xml:space="preserve">4</t>
  </si>
  <si>
    <t xml:space="preserve">Develop re-induction package for V8 + Breadcrumb</t>
  </si>
  <si>
    <t xml:space="preserve">5 Sep 2026</t>
  </si>
  <si>
    <t xml:space="preserve">V8 issued + config</t>
  </si>
  <si>
    <t xml:space="preserve">Induction presentation + quiz</t>
  </si>
  <si>
    <t xml:space="preserve">Cover: what changed, Breadcrumb how-to.</t>
  </si>
  <si>
    <t xml:space="preserve">Deliver re-induction to all RPD workers</t>
  </si>
  <si>
    <t xml:space="preserve">12 Sep 2026</t>
  </si>
  <si>
    <t xml:space="preserve">Re-induction pkg</t>
  </si>
  <si>
    <t xml:space="preserve">Induction records (Breadcrumb)</t>
  </si>
  <si>
    <t xml:space="preserve">Record in Breadcrumb induction module.</t>
  </si>
  <si>
    <t xml:space="preserve">Supervisor training on Breadcrumb admin</t>
  </si>
  <si>
    <t xml:space="preserve">19 Sep 2026</t>
  </si>
  <si>
    <t xml:space="preserve">Re-induction</t>
  </si>
  <si>
    <t xml:space="preserve">Training records</t>
  </si>
  <si>
    <t xml:space="preserve">PMs + supervisors need admin training.</t>
  </si>
  <si>
    <t xml:space="preserve">5</t>
  </si>
  <si>
    <t xml:space="preserve">Withdraw superseded .docx forms</t>
  </si>
  <si>
    <t xml:space="preserve">26 Sep 2026</t>
  </si>
  <si>
    <t xml:space="preserve">Parallel run done</t>
  </si>
  <si>
    <t xml:space="preserve">Updated document register</t>
  </si>
  <si>
    <t xml:space="preserve">Watermark SUPERSEDED. Archive, don't delete.</t>
  </si>
  <si>
    <t xml:space="preserve">Post-implementation internal audit (Ed.6 checklists)</t>
  </si>
  <si>
    <t xml:space="preserve">10 Oct 2026</t>
  </si>
  <si>
    <t xml:space="preserve">V8 + Breadcrumb live</t>
  </si>
  <si>
    <t xml:space="preserve">Internal Audit Report (.docx)</t>
  </si>
  <si>
    <t xml:space="preserve">Full Ed.6 checklists 1–12.</t>
  </si>
  <si>
    <t xml:space="preserve">Management review meeting</t>
  </si>
  <si>
    <t xml:space="preserve">RPD Director + Alan</t>
  </si>
  <si>
    <t xml:space="preserve">17 Oct 2026</t>
  </si>
  <si>
    <t xml:space="preserve">Internal audit</t>
  </si>
  <si>
    <t xml:space="preserve">Management Review Minutes</t>
  </si>
  <si>
    <t xml:space="preserve">Review V8 effectiveness, adoption, CAs.</t>
  </si>
  <si>
    <t xml:space="preserve">Close out project</t>
  </si>
  <si>
    <t xml:space="preserve">24 Oct 2026</t>
  </si>
  <si>
    <t xml:space="preserve">Project close-out report</t>
  </si>
  <si>
    <t xml:space="preserve">Confirm Ed.6 compliance. Hand over.</t>
  </si>
  <si>
    <t xml:space="preserve">TOTALS:</t>
  </si>
  <si>
    <t xml:space="preserve">RPD WHS SYSTEM UPGRADE — WEEKLY STATUS REPORT</t>
  </si>
  <si>
    <t xml:space="preserve">Week Ending:</t>
  </si>
  <si>
    <t xml:space="preserve">Prepared By:</t>
  </si>
  <si>
    <t xml:space="preserve">Alan @ AuditCo</t>
  </si>
  <si>
    <t xml:space="preserve">For:</t>
  </si>
  <si>
    <t xml:space="preserve">Leslie Robertson (RPD Director) / Nick V</t>
  </si>
  <si>
    <t xml:space="preserve">Project:</t>
  </si>
  <si>
    <t xml:space="preserve">RPD WHSMS V8 Upgrade And Breadcrumb Digital Migration</t>
  </si>
  <si>
    <t xml:space="preserve">OVERALL PROJECT STATUS</t>
  </si>
  <si>
    <t xml:space="preserve">Description</t>
  </si>
  <si>
    <t xml:space="preserve">This Week</t>
  </si>
  <si>
    <t xml:space="preserve">Next Week</t>
  </si>
  <si>
    <t xml:space="preserve">Risks / Issues</t>
  </si>
  <si>
    <t xml:space="preserve">Gap Analysis &amp; Scoping</t>
  </si>
  <si>
    <t xml:space="preserve">Gap analysis and document register completed. Delivered to RPD.</t>
  </si>
  <si>
    <t xml:space="preserve">Present findings to RPD management. Schedule Breadcrumb verification session.</t>
  </si>
  <si>
    <t xml:space="preserve">None</t>
  </si>
  <si>
    <t xml:space="preserve">WHS Management Plan V8</t>
  </si>
  <si>
    <t xml:space="preserve">Awaiting Phase 1 sign-off before commencing V8 drafting.</t>
  </si>
  <si>
    <t xml:space="preserve">Delay if RPD management review takes longer than 1 week.</t>
  </si>
  <si>
    <t xml:space="preserve">Form and Template Migration</t>
  </si>
  <si>
    <t xml:space="preserve">Awaiting Breadcrumb verification.</t>
  </si>
  <si>
    <t xml:space="preserve">Breadcrumb module gaps could delay migration.</t>
  </si>
  <si>
    <t xml:space="preserve">Training and Competency</t>
  </si>
  <si>
    <t xml:space="preserve">Scheduling site re-inductions depends on Phase 2+3 completion.</t>
  </si>
  <si>
    <t xml:space="preserve">Verification and Close-out</t>
  </si>
  <si>
    <t xml:space="preserve">Internal audit timing depends on all prior phases.</t>
  </si>
  <si>
    <t xml:space="preserve">KEY ACHIEVEMENTS THIS WEEK</t>
  </si>
  <si>
    <t xml:space="preserve">Completed bare minimum Ed.6 gap analysis — 22 sections identified for elimination, 14 forms for Breadcrumb migration.</t>
  </si>
  <si>
    <t xml:space="preserve">[Enter achievement]</t>
  </si>
  <si>
    <t xml:space="preserve">ACTIONS FOR NEXT WEEK</t>
  </si>
  <si>
    <t xml:space="preserve">#</t>
  </si>
  <si>
    <t xml:space="preserve">Action</t>
  </si>
  <si>
    <t xml:space="preserve">Due</t>
  </si>
  <si>
    <t xml:space="preserve">Priority</t>
  </si>
  <si>
    <t xml:space="preserve">Present Phase 1 gap analysis to Leslie Robertson for approval</t>
  </si>
  <si>
    <t xml:space="preserve">[DATE]</t>
  </si>
  <si>
    <t xml:space="preserve">HIGH</t>
  </si>
  <si>
    <t xml:space="preserve">Schedule Breadcrumb verification session (need login access)</t>
  </si>
  <si>
    <t xml:space="preserve">Confirm elimination list — any items RPD wants to keep despite Ed.6?</t>
  </si>
  <si>
    <t xml:space="preserve">Leslie / Alan</t>
  </si>
  <si>
    <t xml:space="preserve">MEDIUM</t>
  </si>
  <si>
    <t xml:space="preserve">[Enter action]</t>
  </si>
  <si>
    <t xml:space="preserve">[Owner]</t>
  </si>
  <si>
    <t xml:space="preserve">RISKS &amp; ISSUES</t>
  </si>
  <si>
    <t xml:space="preserve">Risk / Issue</t>
  </si>
  <si>
    <t xml:space="preserve">Impact</t>
  </si>
  <si>
    <t xml:space="preserve">Mitigation</t>
  </si>
  <si>
    <t xml:space="preserve">Breadcrumb modules may not cover all RPD requirements</t>
  </si>
  <si>
    <t xml:space="preserve">Delay to Phase 3 if custom builds needed</t>
  </si>
  <si>
    <t xml:space="preserve">Early verification session. Identify gaps before V8 drafting.</t>
  </si>
  <si>
    <t xml:space="preserve">RPD management availability for review and sign-off</t>
  </si>
  <si>
    <t xml:space="preserve">Delay to Phase 2 if V8 review stalls</t>
  </si>
  <si>
    <t xml:space="preserve">Book review sessions in advance. Set 1-week turnaround expectation.</t>
  </si>
  <si>
    <t xml:space="preserve">Alan / Leslie</t>
  </si>
  <si>
    <t xml:space="preserve">Worker resistance to digital system change</t>
  </si>
  <si>
    <t xml:space="preserve">Low adoption of Breadcrumb</t>
  </si>
  <si>
    <t xml:space="preserve">Involve site supervisors early. Demonstrate time savings. Parallel run period.</t>
  </si>
  <si>
    <t xml:space="preserve">RPD / Alan</t>
  </si>
  <si>
    <t xml:space="preserve">[Enter risk]</t>
  </si>
  <si>
    <t xml:space="preserve">DECISIONS NEEDED FROM CLIENT</t>
  </si>
  <si>
    <t xml:space="preserve">Decision Required</t>
  </si>
  <si>
    <t xml:space="preserve">Decision Maker</t>
  </si>
  <si>
    <t xml:space="preserve">Needed By</t>
  </si>
  <si>
    <t xml:space="preserve">Approve elimination list — confirm RPD is comfortable dropping ISO 45001 future-proofing</t>
  </si>
  <si>
    <t xml:space="preserve">Leslie Robertson</t>
  </si>
  <si>
    <t xml:space="preserve">Provide Breadcrumb login credentials for verification testing</t>
  </si>
  <si>
    <t xml:space="preserve">RPD IT / Operations</t>
  </si>
  <si>
    <t xml:space="preserve">Confirm V8 review turnaround time (recommend 1 week per section)</t>
  </si>
  <si>
    <t xml:space="preserve">WEEKLY PROGRESS LOG — Append one row per week</t>
  </si>
  <si>
    <t xml:space="preserve">Week #</t>
  </si>
  <si>
    <t xml:space="preserve">Week Ending</t>
  </si>
  <si>
    <t xml:space="preserve">Key Achievement</t>
  </si>
  <si>
    <t xml:space="preserve">Blockers</t>
  </si>
  <si>
    <t xml:space="preserve">Overall RAG</t>
  </si>
  <si>
    <t xml:space="preserve">Hours</t>
  </si>
  <si>
    <t xml:space="preserve">28 Feb 2025</t>
  </si>
  <si>
    <t xml:space="preserve">Gap analysis complete. Document register complete. 7 demo procedures generated. Reference library pushed to Gatekeeper repo.</t>
  </si>
  <si>
    <t xml:space="preserve">Awaiting RPD management review session and Breadcrumb access.</t>
  </si>
  <si>
    <t xml:space="preserve">ON TRACK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</si>
</sst>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"/>
    <numFmt numFmtId="167" formatCode="m/d/yyyy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Arial"/>
      <family val="2"/>
      <charset val="1"/>
    </font>
    <font>
      <sz val="9"/>
      <name val="Arial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2"/>
      <color theme="0"/>
      <name val="Arial"/>
      <family val="2"/>
      <charset val="1"/>
    </font>
    <font>
      <b val="true"/>
      <sz val="11"/>
      <color theme="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0" tint="-0.5"/>
        <bgColor rgb="FF666699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0000FF"/>
        <bgColor rgb="FF0000FF"/>
      </patternFill>
    </fill>
    <fill>
      <patternFill patternType="solid">
        <fgColor rgb="FF00FF00"/>
        <bgColor rgb="FF33CCCC"/>
      </patternFill>
    </fill>
    <fill>
      <patternFill patternType="solid">
        <fgColor rgb="FFFCE4EC"/>
        <bgColor rgb="FFF2F2F2"/>
      </patternFill>
    </fill>
    <fill>
      <patternFill patternType="solid">
        <fgColor theme="9" tint="0.3999"/>
        <bgColor rgb="FFBFBFBF"/>
      </patternFill>
    </fill>
    <fill>
      <patternFill patternType="solid">
        <fgColor rgb="FFFF0000"/>
        <bgColor rgb="FF99330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/>
      <diagonal/>
    </border>
    <border diagonalUp="false" diagonalDown="false">
      <left style="hair">
        <color theme="0" tint="-0.35"/>
      </left>
      <right style="hair">
        <color theme="0" tint="-0.35"/>
      </right>
      <top style="hair">
        <color theme="0" tint="-0.35"/>
      </top>
      <bottom style="hair">
        <color theme="0" tint="-0.35"/>
      </bottom>
      <diagonal/>
    </border>
    <border diagonalUp="false" diagonalDown="false">
      <left/>
      <right/>
      <top style="thin">
        <color rgb="FFAAAAAA"/>
      </top>
      <bottom style="thin">
        <color rgb="FFAAAAAA"/>
      </bottom>
      <diagonal/>
    </border>
    <border diagonalUp="false" diagonalDown="false">
      <left/>
      <right/>
      <top style="hair">
        <color theme="0" tint="-0.25"/>
      </top>
      <bottom style="hair">
        <color theme="0" tint="-0.25"/>
      </bottom>
      <diagonal/>
    </border>
    <border diagonalUp="false" diagonalDown="false">
      <left style="hair">
        <color rgb="FFAAAAAA"/>
      </left>
      <right style="hair">
        <color rgb="FFAAAAAA"/>
      </right>
      <top style="hair">
        <color rgb="FFAAAAAA"/>
      </top>
      <bottom style="hair">
        <color rgb="FFAAAAAA"/>
      </bottom>
      <diagonal/>
    </border>
    <border diagonalUp="false" diagonalDown="false">
      <left/>
      <right/>
      <top style="hair">
        <color theme="0" tint="-0.35"/>
      </top>
      <bottom style="hair">
        <color theme="0" tint="-0.3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8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8" fillId="4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5" fontId="7" fillId="0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4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7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8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1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AAAAAA"/>
      <rgbColor rgb="FF993366"/>
      <rgbColor rgb="FFFFF2CC"/>
      <rgbColor rgb="FFF2F2F2"/>
      <rgbColor rgb="FF660066"/>
      <rgbColor rgb="FFFF8080"/>
      <rgbColor rgb="FF0066CC"/>
      <rgbColor rgb="FFFCE4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AC090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1"/>
  <sheetViews>
    <sheetView showFormulas="false" showGridLines="true" showRowColHeaders="true" showZeros="true" rightToLeft="false" tabSelected="true" showOutlineSymbols="true" defaultGridColor="true" view="pageBreakPreview" topLeftCell="A1" colorId="64" zoomScale="89" zoomScaleNormal="100" zoomScalePageLayoutView="89" workbookViewId="0">
      <pane xSplit="0" ySplit="4" topLeftCell="A5" activePane="bottomLeft" state="frozen"/>
      <selection pane="topLeft" activeCell="A1" activeCellId="0" sqref="A1"/>
      <selection pane="bottomLeft" activeCell="I6" activeCellId="0" sqref="I6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0"/>
    <col collapsed="false" customWidth="true" hidden="false" outlineLevel="0" max="5" min="3" style="1" width="14"/>
    <col collapsed="false" customWidth="true" hidden="false" outlineLevel="0" max="6" min="6" style="1" width="12"/>
    <col collapsed="false" customWidth="true" hidden="false" outlineLevel="0" max="7" min="7" style="1" width="16"/>
    <col collapsed="false" customWidth="true" hidden="false" outlineLevel="0" max="8" min="8" style="1" width="28"/>
    <col collapsed="false" customWidth="true" hidden="false" outlineLevel="0" max="9" min="9" style="1" width="30"/>
    <col collapsed="false" customWidth="true" hidden="false" outlineLevel="0" max="10" min="10" style="1" width="12"/>
    <col collapsed="false" customWidth="true" hidden="false" outlineLevel="0" max="11" min="11" style="1" width="11"/>
    <col collapsed="false" customWidth="true" hidden="false" outlineLevel="0" max="12" min="12" style="1" width="12"/>
    <col collapsed="false" customWidth="true" hidden="false" outlineLevel="0" max="13" min="13" style="1" width="13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4.2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27.7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5" t="s">
        <v>12</v>
      </c>
      <c r="L4" s="5" t="s">
        <v>13</v>
      </c>
      <c r="M4" s="5" t="s">
        <v>14</v>
      </c>
    </row>
    <row r="5" customFormat="false" ht="39.75" hidden="false" customHeight="true" outlineLevel="0" collapsed="false">
      <c r="A5" s="6" t="s">
        <v>15</v>
      </c>
      <c r="B5" s="7" t="s">
        <v>16</v>
      </c>
      <c r="C5" s="7" t="s">
        <v>17</v>
      </c>
      <c r="D5" s="7" t="s">
        <v>18</v>
      </c>
      <c r="E5" s="8" t="s">
        <v>19</v>
      </c>
      <c r="F5" s="9" t="s">
        <v>20</v>
      </c>
      <c r="G5" s="7" t="s">
        <v>21</v>
      </c>
      <c r="H5" s="7" t="s">
        <v>22</v>
      </c>
      <c r="I5" s="7" t="s">
        <v>23</v>
      </c>
      <c r="J5" s="9" t="s">
        <v>24</v>
      </c>
      <c r="K5" s="10" t="n">
        <v>4</v>
      </c>
      <c r="L5" s="11" t="n">
        <v>4</v>
      </c>
      <c r="M5" s="12" t="n">
        <f aca="false">L5</f>
        <v>4</v>
      </c>
    </row>
    <row r="6" customFormat="false" ht="39.75" hidden="false" customHeight="true" outlineLevel="0" collapsed="false">
      <c r="A6" s="6" t="s">
        <v>15</v>
      </c>
      <c r="B6" s="7" t="s">
        <v>25</v>
      </c>
      <c r="C6" s="7" t="s">
        <v>17</v>
      </c>
      <c r="D6" s="7" t="s">
        <v>18</v>
      </c>
      <c r="E6" s="8" t="s">
        <v>19</v>
      </c>
      <c r="F6" s="9" t="s">
        <v>20</v>
      </c>
      <c r="G6" s="7" t="s">
        <v>26</v>
      </c>
      <c r="H6" s="7" t="s">
        <v>27</v>
      </c>
      <c r="I6" s="7" t="s">
        <v>28</v>
      </c>
      <c r="J6" s="9" t="s">
        <v>24</v>
      </c>
      <c r="K6" s="10" t="n">
        <v>2</v>
      </c>
      <c r="L6" s="11" t="n">
        <v>2</v>
      </c>
      <c r="M6" s="12" t="n">
        <f aca="false">M5+L6</f>
        <v>6</v>
      </c>
    </row>
    <row r="7" customFormat="false" ht="39.75" hidden="false" customHeight="true" outlineLevel="0" collapsed="false">
      <c r="A7" s="6" t="s">
        <v>15</v>
      </c>
      <c r="B7" s="7" t="s">
        <v>29</v>
      </c>
      <c r="C7" s="7" t="s">
        <v>17</v>
      </c>
      <c r="D7" s="7" t="s">
        <v>30</v>
      </c>
      <c r="E7" s="8" t="s">
        <v>19</v>
      </c>
      <c r="F7" s="9" t="s">
        <v>20</v>
      </c>
      <c r="G7" s="7" t="s">
        <v>26</v>
      </c>
      <c r="H7" s="7" t="s">
        <v>31</v>
      </c>
      <c r="I7" s="7" t="s">
        <v>32</v>
      </c>
      <c r="J7" s="9" t="s">
        <v>33</v>
      </c>
      <c r="K7" s="10" t="n">
        <v>2</v>
      </c>
      <c r="L7" s="11" t="n">
        <v>2</v>
      </c>
      <c r="M7" s="12" t="n">
        <f aca="false">M6+L7</f>
        <v>8</v>
      </c>
    </row>
    <row r="8" customFormat="false" ht="39.75" hidden="false" customHeight="true" outlineLevel="0" collapsed="false">
      <c r="A8" s="6" t="s">
        <v>15</v>
      </c>
      <c r="B8" s="7" t="s">
        <v>34</v>
      </c>
      <c r="C8" s="7" t="s">
        <v>17</v>
      </c>
      <c r="D8" s="7" t="s">
        <v>30</v>
      </c>
      <c r="E8" s="8" t="s">
        <v>19</v>
      </c>
      <c r="F8" s="9" t="s">
        <v>20</v>
      </c>
      <c r="G8" s="7" t="s">
        <v>26</v>
      </c>
      <c r="H8" s="7" t="s">
        <v>35</v>
      </c>
      <c r="I8" s="7" t="s">
        <v>36</v>
      </c>
      <c r="J8" s="9" t="s">
        <v>33</v>
      </c>
      <c r="K8" s="10" t="n">
        <v>4</v>
      </c>
      <c r="L8" s="11" t="n">
        <v>4</v>
      </c>
      <c r="M8" s="12" t="n">
        <f aca="false">M7+L8</f>
        <v>12</v>
      </c>
    </row>
    <row r="9" customFormat="false" ht="39.75" hidden="false" customHeight="true" outlineLevel="0" collapsed="false">
      <c r="A9" s="6" t="s">
        <v>15</v>
      </c>
      <c r="B9" s="7" t="s">
        <v>37</v>
      </c>
      <c r="C9" s="7" t="s">
        <v>17</v>
      </c>
      <c r="D9" s="7" t="s">
        <v>30</v>
      </c>
      <c r="E9" s="8" t="s">
        <v>19</v>
      </c>
      <c r="F9" s="9" t="s">
        <v>20</v>
      </c>
      <c r="G9" s="7" t="s">
        <v>26</v>
      </c>
      <c r="H9" s="7" t="s">
        <v>38</v>
      </c>
      <c r="I9" s="7" t="s">
        <v>39</v>
      </c>
      <c r="J9" s="9" t="s">
        <v>33</v>
      </c>
      <c r="K9" s="10" t="n">
        <v>4</v>
      </c>
      <c r="L9" s="11" t="n">
        <v>4</v>
      </c>
      <c r="M9" s="12" t="n">
        <f aca="false">M8+L9</f>
        <v>16</v>
      </c>
    </row>
    <row r="10" customFormat="false" ht="39.75" hidden="false" customHeight="true" outlineLevel="0" collapsed="false">
      <c r="A10" s="6" t="s">
        <v>15</v>
      </c>
      <c r="B10" s="7" t="s">
        <v>40</v>
      </c>
      <c r="C10" s="7" t="s">
        <v>17</v>
      </c>
      <c r="D10" s="7" t="s">
        <v>30</v>
      </c>
      <c r="E10" s="8" t="s">
        <v>19</v>
      </c>
      <c r="F10" s="9" t="s">
        <v>20</v>
      </c>
      <c r="G10" s="7" t="s">
        <v>41</v>
      </c>
      <c r="H10" s="7" t="s">
        <v>42</v>
      </c>
      <c r="I10" s="7" t="s">
        <v>43</v>
      </c>
      <c r="J10" s="9" t="s">
        <v>33</v>
      </c>
      <c r="K10" s="10" t="n">
        <v>2</v>
      </c>
      <c r="L10" s="11" t="n">
        <v>2</v>
      </c>
      <c r="M10" s="12" t="n">
        <f aca="false">M9+L10</f>
        <v>18</v>
      </c>
    </row>
    <row r="11" customFormat="false" ht="39.75" hidden="false" customHeight="true" outlineLevel="0" collapsed="false">
      <c r="A11" s="6" t="s">
        <v>15</v>
      </c>
      <c r="B11" s="7" t="s">
        <v>44</v>
      </c>
      <c r="C11" s="7" t="s">
        <v>45</v>
      </c>
      <c r="D11" s="7" t="s">
        <v>46</v>
      </c>
      <c r="E11" s="13" t="s">
        <v>47</v>
      </c>
      <c r="F11" s="9" t="s">
        <v>48</v>
      </c>
      <c r="G11" s="7" t="s">
        <v>49</v>
      </c>
      <c r="H11" s="7" t="s">
        <v>50</v>
      </c>
      <c r="I11" s="7" t="s">
        <v>51</v>
      </c>
      <c r="J11" s="9" t="s">
        <v>21</v>
      </c>
      <c r="K11" s="10" t="n">
        <v>4</v>
      </c>
      <c r="L11" s="11"/>
      <c r="M11" s="12" t="n">
        <f aca="false">M10+L11</f>
        <v>18</v>
      </c>
    </row>
    <row r="12" customFormat="false" ht="39.75" hidden="false" customHeight="true" outlineLevel="0" collapsed="false">
      <c r="A12" s="6" t="s">
        <v>15</v>
      </c>
      <c r="B12" s="7" t="s">
        <v>52</v>
      </c>
      <c r="C12" s="7" t="s">
        <v>17</v>
      </c>
      <c r="D12" s="7" t="s">
        <v>53</v>
      </c>
      <c r="E12" s="13" t="s">
        <v>47</v>
      </c>
      <c r="F12" s="9" t="s">
        <v>48</v>
      </c>
      <c r="G12" s="7" t="s">
        <v>54</v>
      </c>
      <c r="H12" s="7" t="s">
        <v>55</v>
      </c>
      <c r="I12" s="7" t="s">
        <v>56</v>
      </c>
      <c r="J12" s="9" t="s">
        <v>21</v>
      </c>
      <c r="K12" s="10" t="n">
        <v>2</v>
      </c>
      <c r="L12" s="11"/>
      <c r="M12" s="12" t="n">
        <f aca="false">M11+L12</f>
        <v>18</v>
      </c>
    </row>
    <row r="13" customFormat="false" ht="39.75" hidden="false" customHeight="true" outlineLevel="0" collapsed="false">
      <c r="A13" s="6" t="s">
        <v>57</v>
      </c>
      <c r="B13" s="7" t="s">
        <v>58</v>
      </c>
      <c r="C13" s="7" t="s">
        <v>17</v>
      </c>
      <c r="D13" s="7" t="s">
        <v>59</v>
      </c>
      <c r="E13" s="13" t="s">
        <v>47</v>
      </c>
      <c r="F13" s="9" t="s">
        <v>48</v>
      </c>
      <c r="G13" s="7" t="s">
        <v>60</v>
      </c>
      <c r="H13" s="7" t="s">
        <v>61</v>
      </c>
      <c r="I13" s="7" t="s">
        <v>62</v>
      </c>
      <c r="J13" s="9" t="s">
        <v>21</v>
      </c>
      <c r="K13" s="10" t="n">
        <v>8</v>
      </c>
      <c r="L13" s="11"/>
      <c r="M13" s="12" t="n">
        <f aca="false">M12+L13</f>
        <v>18</v>
      </c>
    </row>
    <row r="14" customFormat="false" ht="39.75" hidden="false" customHeight="true" outlineLevel="0" collapsed="false">
      <c r="A14" s="6" t="s">
        <v>57</v>
      </c>
      <c r="B14" s="7" t="s">
        <v>63</v>
      </c>
      <c r="C14" s="7" t="s">
        <v>17</v>
      </c>
      <c r="D14" s="7" t="s">
        <v>64</v>
      </c>
      <c r="E14" s="13" t="s">
        <v>47</v>
      </c>
      <c r="F14" s="9" t="s">
        <v>48</v>
      </c>
      <c r="G14" s="7" t="s">
        <v>65</v>
      </c>
      <c r="H14" s="7" t="s">
        <v>61</v>
      </c>
      <c r="I14" s="7" t="s">
        <v>66</v>
      </c>
      <c r="J14" s="9" t="s">
        <v>21</v>
      </c>
      <c r="K14" s="10" t="n">
        <v>6</v>
      </c>
      <c r="L14" s="11"/>
      <c r="M14" s="12" t="n">
        <f aca="false">M13+L14</f>
        <v>18</v>
      </c>
    </row>
    <row r="15" customFormat="false" ht="39.75" hidden="false" customHeight="true" outlineLevel="0" collapsed="false">
      <c r="A15" s="6" t="s">
        <v>57</v>
      </c>
      <c r="B15" s="7" t="s">
        <v>67</v>
      </c>
      <c r="C15" s="7" t="s">
        <v>17</v>
      </c>
      <c r="D15" s="7" t="s">
        <v>68</v>
      </c>
      <c r="E15" s="13" t="s">
        <v>47</v>
      </c>
      <c r="F15" s="9" t="s">
        <v>48</v>
      </c>
      <c r="G15" s="7" t="s">
        <v>69</v>
      </c>
      <c r="H15" s="7" t="s">
        <v>61</v>
      </c>
      <c r="I15" s="7" t="s">
        <v>70</v>
      </c>
      <c r="J15" s="9" t="s">
        <v>21</v>
      </c>
      <c r="K15" s="10" t="n">
        <v>4</v>
      </c>
      <c r="L15" s="11"/>
      <c r="M15" s="12" t="n">
        <f aca="false">M14+L15</f>
        <v>18</v>
      </c>
    </row>
    <row r="16" customFormat="false" ht="39.75" hidden="false" customHeight="true" outlineLevel="0" collapsed="false">
      <c r="A16" s="6" t="s">
        <v>57</v>
      </c>
      <c r="B16" s="7" t="s">
        <v>71</v>
      </c>
      <c r="C16" s="7" t="s">
        <v>17</v>
      </c>
      <c r="D16" s="7" t="s">
        <v>72</v>
      </c>
      <c r="E16" s="13" t="s">
        <v>47</v>
      </c>
      <c r="F16" s="9" t="s">
        <v>48</v>
      </c>
      <c r="G16" s="7" t="s">
        <v>73</v>
      </c>
      <c r="H16" s="7" t="s">
        <v>61</v>
      </c>
      <c r="I16" s="7" t="s">
        <v>74</v>
      </c>
      <c r="J16" s="9" t="s">
        <v>21</v>
      </c>
      <c r="K16" s="10" t="n">
        <v>6</v>
      </c>
      <c r="L16" s="11"/>
      <c r="M16" s="12" t="n">
        <f aca="false">M15+L16</f>
        <v>18</v>
      </c>
    </row>
    <row r="17" customFormat="false" ht="39.75" hidden="false" customHeight="true" outlineLevel="0" collapsed="false">
      <c r="A17" s="6" t="s">
        <v>57</v>
      </c>
      <c r="B17" s="7" t="s">
        <v>75</v>
      </c>
      <c r="C17" s="7" t="s">
        <v>17</v>
      </c>
      <c r="D17" s="7" t="s">
        <v>76</v>
      </c>
      <c r="E17" s="13" t="s">
        <v>47</v>
      </c>
      <c r="F17" s="9" t="s">
        <v>48</v>
      </c>
      <c r="G17" s="7" t="s">
        <v>77</v>
      </c>
      <c r="H17" s="7" t="s">
        <v>61</v>
      </c>
      <c r="I17" s="7" t="s">
        <v>78</v>
      </c>
      <c r="J17" s="9" t="s">
        <v>21</v>
      </c>
      <c r="K17" s="10" t="n">
        <v>4</v>
      </c>
      <c r="L17" s="11"/>
      <c r="M17" s="12" t="n">
        <f aca="false">M16+L17</f>
        <v>18</v>
      </c>
    </row>
    <row r="18" customFormat="false" ht="39.75" hidden="false" customHeight="true" outlineLevel="0" collapsed="false">
      <c r="A18" s="6" t="s">
        <v>57</v>
      </c>
      <c r="B18" s="7" t="s">
        <v>79</v>
      </c>
      <c r="C18" s="7" t="s">
        <v>17</v>
      </c>
      <c r="D18" s="7" t="s">
        <v>80</v>
      </c>
      <c r="E18" s="13" t="s">
        <v>47</v>
      </c>
      <c r="F18" s="9" t="s">
        <v>48</v>
      </c>
      <c r="G18" s="7" t="s">
        <v>81</v>
      </c>
      <c r="H18" s="7" t="s">
        <v>82</v>
      </c>
      <c r="I18" s="7" t="s">
        <v>83</v>
      </c>
      <c r="J18" s="9" t="s">
        <v>21</v>
      </c>
      <c r="K18" s="10" t="n">
        <v>12</v>
      </c>
      <c r="L18" s="11"/>
      <c r="M18" s="12" t="n">
        <f aca="false">M17+L18</f>
        <v>18</v>
      </c>
    </row>
    <row r="19" customFormat="false" ht="39.75" hidden="false" customHeight="true" outlineLevel="0" collapsed="false">
      <c r="A19" s="6" t="s">
        <v>57</v>
      </c>
      <c r="B19" s="7" t="s">
        <v>84</v>
      </c>
      <c r="C19" s="7" t="s">
        <v>85</v>
      </c>
      <c r="D19" s="7" t="s">
        <v>86</v>
      </c>
      <c r="E19" s="13" t="s">
        <v>47</v>
      </c>
      <c r="F19" s="9" t="s">
        <v>48</v>
      </c>
      <c r="G19" s="7" t="s">
        <v>87</v>
      </c>
      <c r="H19" s="7" t="s">
        <v>88</v>
      </c>
      <c r="I19" s="7" t="s">
        <v>89</v>
      </c>
      <c r="J19" s="9" t="s">
        <v>21</v>
      </c>
      <c r="K19" s="10"/>
      <c r="L19" s="11"/>
      <c r="M19" s="12" t="n">
        <f aca="false">M18+L19</f>
        <v>18</v>
      </c>
    </row>
    <row r="20" customFormat="false" ht="39.75" hidden="false" customHeight="true" outlineLevel="0" collapsed="false">
      <c r="A20" s="6" t="s">
        <v>90</v>
      </c>
      <c r="B20" s="7" t="s">
        <v>91</v>
      </c>
      <c r="C20" s="7" t="s">
        <v>17</v>
      </c>
      <c r="D20" s="7" t="s">
        <v>92</v>
      </c>
      <c r="E20" s="13" t="s">
        <v>47</v>
      </c>
      <c r="F20" s="9" t="s">
        <v>48</v>
      </c>
      <c r="G20" s="7" t="s">
        <v>93</v>
      </c>
      <c r="H20" s="7" t="s">
        <v>94</v>
      </c>
      <c r="I20" s="7" t="s">
        <v>95</v>
      </c>
      <c r="J20" s="9" t="s">
        <v>21</v>
      </c>
      <c r="K20" s="10" t="n">
        <v>4</v>
      </c>
      <c r="L20" s="11"/>
      <c r="M20" s="12" t="n">
        <f aca="false">M19+L20</f>
        <v>18</v>
      </c>
    </row>
    <row r="21" customFormat="false" ht="39.75" hidden="false" customHeight="true" outlineLevel="0" collapsed="false">
      <c r="A21" s="6" t="s">
        <v>90</v>
      </c>
      <c r="B21" s="7" t="s">
        <v>96</v>
      </c>
      <c r="C21" s="7" t="s">
        <v>17</v>
      </c>
      <c r="D21" s="7" t="s">
        <v>97</v>
      </c>
      <c r="E21" s="13" t="s">
        <v>47</v>
      </c>
      <c r="F21" s="9" t="s">
        <v>48</v>
      </c>
      <c r="G21" s="7" t="s">
        <v>98</v>
      </c>
      <c r="H21" s="7" t="s">
        <v>99</v>
      </c>
      <c r="I21" s="7" t="s">
        <v>100</v>
      </c>
      <c r="J21" s="9" t="s">
        <v>21</v>
      </c>
      <c r="K21" s="10" t="n">
        <v>4</v>
      </c>
      <c r="L21" s="11"/>
      <c r="M21" s="12" t="n">
        <f aca="false">M20+L21</f>
        <v>18</v>
      </c>
    </row>
    <row r="22" customFormat="false" ht="39.75" hidden="false" customHeight="true" outlineLevel="0" collapsed="false">
      <c r="A22" s="6" t="s">
        <v>90</v>
      </c>
      <c r="B22" s="7" t="s">
        <v>101</v>
      </c>
      <c r="C22" s="7" t="s">
        <v>17</v>
      </c>
      <c r="D22" s="7" t="s">
        <v>102</v>
      </c>
      <c r="E22" s="13" t="s">
        <v>47</v>
      </c>
      <c r="F22" s="9" t="s">
        <v>48</v>
      </c>
      <c r="G22" s="7" t="s">
        <v>103</v>
      </c>
      <c r="H22" s="7" t="s">
        <v>104</v>
      </c>
      <c r="I22" s="7" t="s">
        <v>105</v>
      </c>
      <c r="J22" s="9" t="s">
        <v>21</v>
      </c>
      <c r="K22" s="10" t="n">
        <v>4</v>
      </c>
      <c r="L22" s="11"/>
      <c r="M22" s="12" t="n">
        <f aca="false">M21+L22</f>
        <v>18</v>
      </c>
    </row>
    <row r="23" customFormat="false" ht="39.75" hidden="false" customHeight="true" outlineLevel="0" collapsed="false">
      <c r="A23" s="6" t="s">
        <v>90</v>
      </c>
      <c r="B23" s="7" t="s">
        <v>106</v>
      </c>
      <c r="C23" s="7" t="s">
        <v>17</v>
      </c>
      <c r="D23" s="7" t="s">
        <v>107</v>
      </c>
      <c r="E23" s="13" t="s">
        <v>47</v>
      </c>
      <c r="F23" s="9" t="s">
        <v>48</v>
      </c>
      <c r="G23" s="7" t="s">
        <v>108</v>
      </c>
      <c r="H23" s="7" t="s">
        <v>109</v>
      </c>
      <c r="I23" s="7" t="s">
        <v>110</v>
      </c>
      <c r="J23" s="9" t="s">
        <v>21</v>
      </c>
      <c r="K23" s="10" t="n">
        <v>8</v>
      </c>
      <c r="L23" s="11"/>
      <c r="M23" s="12" t="n">
        <f aca="false">M22+L23</f>
        <v>18</v>
      </c>
    </row>
    <row r="24" customFormat="false" ht="39.75" hidden="false" customHeight="true" outlineLevel="0" collapsed="false">
      <c r="A24" s="6" t="s">
        <v>90</v>
      </c>
      <c r="B24" s="7" t="s">
        <v>111</v>
      </c>
      <c r="C24" s="7" t="s">
        <v>17</v>
      </c>
      <c r="D24" s="7" t="s">
        <v>112</v>
      </c>
      <c r="E24" s="13" t="s">
        <v>47</v>
      </c>
      <c r="F24" s="9" t="s">
        <v>48</v>
      </c>
      <c r="G24" s="7" t="s">
        <v>113</v>
      </c>
      <c r="H24" s="7" t="s">
        <v>114</v>
      </c>
      <c r="I24" s="7" t="s">
        <v>115</v>
      </c>
      <c r="J24" s="9" t="s">
        <v>21</v>
      </c>
      <c r="K24" s="10" t="n">
        <v>12</v>
      </c>
      <c r="L24" s="11"/>
      <c r="M24" s="12" t="n">
        <f aca="false">M23+L24</f>
        <v>18</v>
      </c>
    </row>
    <row r="25" customFormat="false" ht="39.75" hidden="false" customHeight="true" outlineLevel="0" collapsed="false">
      <c r="A25" s="6" t="s">
        <v>90</v>
      </c>
      <c r="B25" s="7" t="s">
        <v>116</v>
      </c>
      <c r="C25" s="7" t="s">
        <v>117</v>
      </c>
      <c r="D25" s="7" t="s">
        <v>118</v>
      </c>
      <c r="E25" s="13" t="s">
        <v>47</v>
      </c>
      <c r="F25" s="9" t="s">
        <v>48</v>
      </c>
      <c r="G25" s="7" t="s">
        <v>119</v>
      </c>
      <c r="H25" s="7" t="s">
        <v>120</v>
      </c>
      <c r="I25" s="7" t="s">
        <v>121</v>
      </c>
      <c r="J25" s="9" t="s">
        <v>21</v>
      </c>
      <c r="K25" s="10"/>
      <c r="L25" s="11"/>
      <c r="M25" s="12" t="n">
        <f aca="false">M24+L25</f>
        <v>18</v>
      </c>
    </row>
    <row r="26" customFormat="false" ht="39.75" hidden="false" customHeight="true" outlineLevel="0" collapsed="false">
      <c r="A26" s="6" t="s">
        <v>90</v>
      </c>
      <c r="B26" s="7" t="s">
        <v>122</v>
      </c>
      <c r="C26" s="7" t="s">
        <v>17</v>
      </c>
      <c r="D26" s="7" t="s">
        <v>123</v>
      </c>
      <c r="E26" s="13" t="s">
        <v>47</v>
      </c>
      <c r="F26" s="9" t="s">
        <v>48</v>
      </c>
      <c r="G26" s="7" t="s">
        <v>124</v>
      </c>
      <c r="H26" s="7" t="s">
        <v>125</v>
      </c>
      <c r="I26" s="7" t="s">
        <v>126</v>
      </c>
      <c r="J26" s="9" t="s">
        <v>21</v>
      </c>
      <c r="K26" s="10" t="n">
        <v>8</v>
      </c>
      <c r="L26" s="11"/>
      <c r="M26" s="12" t="n">
        <f aca="false">M25+L26</f>
        <v>18</v>
      </c>
    </row>
    <row r="27" customFormat="false" ht="39.75" hidden="false" customHeight="true" outlineLevel="0" collapsed="false">
      <c r="A27" s="6" t="s">
        <v>127</v>
      </c>
      <c r="B27" s="7" t="s">
        <v>128</v>
      </c>
      <c r="C27" s="7" t="s">
        <v>45</v>
      </c>
      <c r="D27" s="7" t="s">
        <v>129</v>
      </c>
      <c r="E27" s="13" t="s">
        <v>47</v>
      </c>
      <c r="F27" s="9" t="s">
        <v>48</v>
      </c>
      <c r="G27" s="7" t="s">
        <v>130</v>
      </c>
      <c r="H27" s="7" t="s">
        <v>131</v>
      </c>
      <c r="I27" s="7" t="s">
        <v>132</v>
      </c>
      <c r="J27" s="9" t="s">
        <v>21</v>
      </c>
      <c r="K27" s="10" t="n">
        <v>8</v>
      </c>
      <c r="L27" s="11"/>
      <c r="M27" s="12" t="n">
        <f aca="false">M26+L27</f>
        <v>18</v>
      </c>
    </row>
    <row r="28" customFormat="false" ht="39.75" hidden="false" customHeight="true" outlineLevel="0" collapsed="false">
      <c r="A28" s="6" t="s">
        <v>127</v>
      </c>
      <c r="B28" s="7" t="s">
        <v>133</v>
      </c>
      <c r="C28" s="7" t="s">
        <v>45</v>
      </c>
      <c r="D28" s="7" t="s">
        <v>134</v>
      </c>
      <c r="E28" s="13" t="s">
        <v>47</v>
      </c>
      <c r="F28" s="9" t="s">
        <v>48</v>
      </c>
      <c r="G28" s="7" t="s">
        <v>135</v>
      </c>
      <c r="H28" s="7" t="s">
        <v>131</v>
      </c>
      <c r="I28" s="7" t="s">
        <v>136</v>
      </c>
      <c r="J28" s="9" t="s">
        <v>21</v>
      </c>
      <c r="K28" s="10" t="n">
        <v>8</v>
      </c>
      <c r="L28" s="11"/>
      <c r="M28" s="12" t="n">
        <f aca="false">M27+L28</f>
        <v>18</v>
      </c>
    </row>
    <row r="29" customFormat="false" ht="39.75" hidden="false" customHeight="true" outlineLevel="0" collapsed="false">
      <c r="A29" s="6" t="s">
        <v>127</v>
      </c>
      <c r="B29" s="7" t="s">
        <v>137</v>
      </c>
      <c r="C29" s="7" t="s">
        <v>45</v>
      </c>
      <c r="D29" s="7" t="s">
        <v>138</v>
      </c>
      <c r="E29" s="13" t="s">
        <v>47</v>
      </c>
      <c r="F29" s="9" t="s">
        <v>48</v>
      </c>
      <c r="G29" s="7" t="s">
        <v>139</v>
      </c>
      <c r="H29" s="7" t="s">
        <v>131</v>
      </c>
      <c r="I29" s="7" t="s">
        <v>140</v>
      </c>
      <c r="J29" s="9" t="s">
        <v>21</v>
      </c>
      <c r="K29" s="10" t="n">
        <v>8</v>
      </c>
      <c r="L29" s="11"/>
      <c r="M29" s="12" t="n">
        <f aca="false">M28+L29</f>
        <v>18</v>
      </c>
    </row>
    <row r="30" customFormat="false" ht="39.75" hidden="false" customHeight="true" outlineLevel="0" collapsed="false">
      <c r="A30" s="6" t="s">
        <v>127</v>
      </c>
      <c r="B30" s="7" t="s">
        <v>141</v>
      </c>
      <c r="C30" s="7" t="s">
        <v>45</v>
      </c>
      <c r="D30" s="7" t="s">
        <v>142</v>
      </c>
      <c r="E30" s="13" t="s">
        <v>47</v>
      </c>
      <c r="F30" s="9" t="s">
        <v>48</v>
      </c>
      <c r="G30" s="7" t="s">
        <v>143</v>
      </c>
      <c r="H30" s="7" t="s">
        <v>131</v>
      </c>
      <c r="I30" s="7" t="s">
        <v>144</v>
      </c>
      <c r="J30" s="9" t="s">
        <v>21</v>
      </c>
      <c r="K30" s="10" t="n">
        <v>8</v>
      </c>
      <c r="L30" s="11"/>
      <c r="M30" s="12" t="n">
        <f aca="false">M29+L30</f>
        <v>18</v>
      </c>
    </row>
    <row r="31" customFormat="false" ht="39.75" hidden="false" customHeight="true" outlineLevel="0" collapsed="false">
      <c r="A31" s="6" t="s">
        <v>127</v>
      </c>
      <c r="B31" s="7" t="s">
        <v>145</v>
      </c>
      <c r="C31" s="7" t="s">
        <v>17</v>
      </c>
      <c r="D31" s="7" t="s">
        <v>146</v>
      </c>
      <c r="E31" s="13" t="s">
        <v>47</v>
      </c>
      <c r="F31" s="9" t="s">
        <v>48</v>
      </c>
      <c r="G31" s="7" t="s">
        <v>147</v>
      </c>
      <c r="H31" s="7" t="s">
        <v>148</v>
      </c>
      <c r="I31" s="7" t="s">
        <v>149</v>
      </c>
      <c r="J31" s="9" t="s">
        <v>21</v>
      </c>
      <c r="K31" s="10" t="n">
        <v>4</v>
      </c>
      <c r="L31" s="11"/>
      <c r="M31" s="12" t="n">
        <f aca="false">M30+L31</f>
        <v>18</v>
      </c>
    </row>
    <row r="32" customFormat="false" ht="39.75" hidden="false" customHeight="true" outlineLevel="0" collapsed="false">
      <c r="A32" s="6" t="s">
        <v>127</v>
      </c>
      <c r="B32" s="7" t="s">
        <v>150</v>
      </c>
      <c r="C32" s="7" t="s">
        <v>151</v>
      </c>
      <c r="D32" s="7" t="s">
        <v>152</v>
      </c>
      <c r="E32" s="13" t="s">
        <v>47</v>
      </c>
      <c r="F32" s="9" t="s">
        <v>48</v>
      </c>
      <c r="G32" s="7" t="s">
        <v>147</v>
      </c>
      <c r="H32" s="7" t="s">
        <v>153</v>
      </c>
      <c r="I32" s="7" t="s">
        <v>154</v>
      </c>
      <c r="J32" s="9" t="s">
        <v>21</v>
      </c>
      <c r="K32" s="10" t="n">
        <v>4</v>
      </c>
      <c r="L32" s="11"/>
      <c r="M32" s="12" t="n">
        <f aca="false">M31+L32</f>
        <v>18</v>
      </c>
    </row>
    <row r="33" customFormat="false" ht="39.75" hidden="false" customHeight="true" outlineLevel="0" collapsed="false">
      <c r="A33" s="6" t="s">
        <v>155</v>
      </c>
      <c r="B33" s="7" t="s">
        <v>156</v>
      </c>
      <c r="C33" s="7" t="s">
        <v>17</v>
      </c>
      <c r="D33" s="7" t="s">
        <v>157</v>
      </c>
      <c r="E33" s="13" t="s">
        <v>47</v>
      </c>
      <c r="F33" s="9" t="s">
        <v>48</v>
      </c>
      <c r="G33" s="7" t="s">
        <v>158</v>
      </c>
      <c r="H33" s="7" t="s">
        <v>159</v>
      </c>
      <c r="I33" s="7" t="s">
        <v>160</v>
      </c>
      <c r="J33" s="9" t="s">
        <v>21</v>
      </c>
      <c r="K33" s="10" t="n">
        <v>6</v>
      </c>
      <c r="L33" s="11"/>
      <c r="M33" s="12" t="n">
        <f aca="false">M32+L33</f>
        <v>18</v>
      </c>
    </row>
    <row r="34" customFormat="false" ht="39.75" hidden="false" customHeight="true" outlineLevel="0" collapsed="false">
      <c r="A34" s="6" t="s">
        <v>155</v>
      </c>
      <c r="B34" s="7" t="s">
        <v>161</v>
      </c>
      <c r="C34" s="7" t="s">
        <v>45</v>
      </c>
      <c r="D34" s="7" t="s">
        <v>162</v>
      </c>
      <c r="E34" s="13" t="s">
        <v>47</v>
      </c>
      <c r="F34" s="9" t="s">
        <v>48</v>
      </c>
      <c r="G34" s="7" t="s">
        <v>163</v>
      </c>
      <c r="H34" s="7" t="s">
        <v>164</v>
      </c>
      <c r="I34" s="7" t="s">
        <v>165</v>
      </c>
      <c r="J34" s="9" t="s">
        <v>21</v>
      </c>
      <c r="K34" s="10" t="n">
        <v>4</v>
      </c>
      <c r="L34" s="11"/>
      <c r="M34" s="12" t="n">
        <f aca="false">M33+L34</f>
        <v>18</v>
      </c>
    </row>
    <row r="35" customFormat="false" ht="39.75" hidden="false" customHeight="true" outlineLevel="0" collapsed="false">
      <c r="A35" s="6" t="s">
        <v>155</v>
      </c>
      <c r="B35" s="7" t="s">
        <v>166</v>
      </c>
      <c r="C35" s="7" t="s">
        <v>17</v>
      </c>
      <c r="D35" s="7" t="s">
        <v>167</v>
      </c>
      <c r="E35" s="13" t="s">
        <v>47</v>
      </c>
      <c r="F35" s="9" t="s">
        <v>48</v>
      </c>
      <c r="G35" s="7" t="s">
        <v>168</v>
      </c>
      <c r="H35" s="7" t="s">
        <v>169</v>
      </c>
      <c r="I35" s="7" t="s">
        <v>170</v>
      </c>
      <c r="J35" s="9" t="s">
        <v>21</v>
      </c>
      <c r="K35" s="10" t="n">
        <v>4</v>
      </c>
      <c r="L35" s="11"/>
      <c r="M35" s="12" t="n">
        <f aca="false">M34+L35</f>
        <v>18</v>
      </c>
    </row>
    <row r="36" customFormat="false" ht="39.75" hidden="false" customHeight="true" outlineLevel="0" collapsed="false">
      <c r="A36" s="6" t="s">
        <v>171</v>
      </c>
      <c r="B36" s="7" t="s">
        <v>172</v>
      </c>
      <c r="C36" s="7" t="s">
        <v>45</v>
      </c>
      <c r="D36" s="7" t="s">
        <v>173</v>
      </c>
      <c r="E36" s="13" t="s">
        <v>47</v>
      </c>
      <c r="F36" s="9" t="s">
        <v>48</v>
      </c>
      <c r="G36" s="7" t="s">
        <v>174</v>
      </c>
      <c r="H36" s="7" t="s">
        <v>175</v>
      </c>
      <c r="I36" s="7" t="s">
        <v>176</v>
      </c>
      <c r="J36" s="9" t="s">
        <v>21</v>
      </c>
      <c r="K36" s="10" t="n">
        <v>2</v>
      </c>
      <c r="L36" s="11"/>
      <c r="M36" s="12" t="n">
        <f aca="false">M35+L36</f>
        <v>18</v>
      </c>
    </row>
    <row r="37" customFormat="false" ht="39.75" hidden="false" customHeight="true" outlineLevel="0" collapsed="false">
      <c r="A37" s="6" t="s">
        <v>171</v>
      </c>
      <c r="B37" s="7" t="s">
        <v>177</v>
      </c>
      <c r="C37" s="7" t="s">
        <v>17</v>
      </c>
      <c r="D37" s="7" t="s">
        <v>178</v>
      </c>
      <c r="E37" s="13" t="s">
        <v>47</v>
      </c>
      <c r="F37" s="9" t="s">
        <v>48</v>
      </c>
      <c r="G37" s="7" t="s">
        <v>179</v>
      </c>
      <c r="H37" s="7" t="s">
        <v>180</v>
      </c>
      <c r="I37" s="7" t="s">
        <v>181</v>
      </c>
      <c r="J37" s="9" t="s">
        <v>21</v>
      </c>
      <c r="K37" s="10" t="n">
        <v>8</v>
      </c>
      <c r="L37" s="11"/>
      <c r="M37" s="12" t="n">
        <f aca="false">M36+L37</f>
        <v>18</v>
      </c>
    </row>
    <row r="38" customFormat="false" ht="39.75" hidden="false" customHeight="true" outlineLevel="0" collapsed="false">
      <c r="A38" s="6" t="s">
        <v>171</v>
      </c>
      <c r="B38" s="7" t="s">
        <v>182</v>
      </c>
      <c r="C38" s="7" t="s">
        <v>183</v>
      </c>
      <c r="D38" s="7" t="s">
        <v>184</v>
      </c>
      <c r="E38" s="13" t="s">
        <v>47</v>
      </c>
      <c r="F38" s="9" t="s">
        <v>48</v>
      </c>
      <c r="G38" s="7" t="s">
        <v>185</v>
      </c>
      <c r="H38" s="7" t="s">
        <v>186</v>
      </c>
      <c r="I38" s="7" t="s">
        <v>187</v>
      </c>
      <c r="J38" s="9" t="s">
        <v>21</v>
      </c>
      <c r="K38" s="10" t="n">
        <v>2</v>
      </c>
      <c r="L38" s="11"/>
      <c r="M38" s="12" t="n">
        <f aca="false">M37+L38</f>
        <v>18</v>
      </c>
    </row>
    <row r="39" customFormat="false" ht="39.75" hidden="false" customHeight="true" outlineLevel="0" collapsed="false">
      <c r="A39" s="6" t="s">
        <v>171</v>
      </c>
      <c r="B39" s="7" t="s">
        <v>188</v>
      </c>
      <c r="C39" s="7" t="s">
        <v>17</v>
      </c>
      <c r="D39" s="7" t="s">
        <v>189</v>
      </c>
      <c r="E39" s="13" t="s">
        <v>47</v>
      </c>
      <c r="F39" s="9" t="s">
        <v>48</v>
      </c>
      <c r="G39" s="7" t="s">
        <v>124</v>
      </c>
      <c r="H39" s="7" t="s">
        <v>190</v>
      </c>
      <c r="I39" s="7" t="s">
        <v>191</v>
      </c>
      <c r="J39" s="9" t="s">
        <v>21</v>
      </c>
      <c r="K39" s="10" t="n">
        <v>2</v>
      </c>
      <c r="L39" s="11"/>
      <c r="M39" s="12" t="n">
        <f aca="false">M38+L39</f>
        <v>18</v>
      </c>
    </row>
    <row r="41" customFormat="false" ht="14.25" hidden="false" customHeight="true" outlineLevel="0" collapsed="false">
      <c r="J41" s="14" t="s">
        <v>192</v>
      </c>
      <c r="K41" s="15" t="n">
        <f aca="false">SUM(K5:K39)</f>
        <v>172</v>
      </c>
      <c r="L41" s="15" t="n">
        <f aca="false">SUM(L5:L39)</f>
        <v>18</v>
      </c>
      <c r="M41" s="16" t="n">
        <f aca="false">M39</f>
        <v>18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9"/>
  <sheetViews>
    <sheetView showFormulas="false" showGridLines="true" showRowColHeaders="true" showZeros="true" rightToLeft="false" tabSelected="false" showOutlineSymbols="true" defaultGridColor="true" view="pageBreakPreview" topLeftCell="A1" colorId="64" zoomScale="112" zoomScaleNormal="100" zoomScalePageLayoutView="112" workbookViewId="0">
      <selection pane="topLeft" activeCell="A35" activeCellId="0" sqref="A35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1.77"/>
    <col collapsed="false" customWidth="true" hidden="false" outlineLevel="0" max="2" min="2" style="1" width="24"/>
    <col collapsed="false" customWidth="true" hidden="false" outlineLevel="0" max="3" min="3" style="1" width="15.78"/>
    <col collapsed="false" customWidth="true" hidden="false" outlineLevel="0" max="6" min="4" style="1" width="26.33"/>
  </cols>
  <sheetData>
    <row r="1" customFormat="false" ht="17.25" hidden="false" customHeight="true" outlineLevel="0" collapsed="false">
      <c r="A1" s="2" t="s">
        <v>193</v>
      </c>
      <c r="B1" s="2"/>
      <c r="C1" s="2"/>
      <c r="D1" s="2"/>
      <c r="E1" s="2"/>
      <c r="F1" s="2"/>
    </row>
    <row r="3" customFormat="false" ht="14.25" hidden="false" customHeight="true" outlineLevel="0" collapsed="false">
      <c r="A3" s="17" t="s">
        <v>194</v>
      </c>
      <c r="B3" s="18" t="n">
        <v>46080</v>
      </c>
      <c r="C3" s="18"/>
      <c r="D3" s="18"/>
      <c r="E3" s="18"/>
      <c r="F3" s="18"/>
    </row>
    <row r="4" customFormat="false" ht="14.25" hidden="false" customHeight="true" outlineLevel="0" collapsed="false">
      <c r="A4" s="17" t="s">
        <v>195</v>
      </c>
      <c r="B4" s="19" t="s">
        <v>196</v>
      </c>
      <c r="C4" s="19"/>
      <c r="D4" s="19"/>
      <c r="E4" s="19"/>
      <c r="F4" s="19"/>
    </row>
    <row r="5" customFormat="false" ht="14.25" hidden="false" customHeight="true" outlineLevel="0" collapsed="false">
      <c r="A5" s="17" t="s">
        <v>197</v>
      </c>
      <c r="B5" s="20" t="s">
        <v>198</v>
      </c>
      <c r="C5" s="20"/>
      <c r="D5" s="20"/>
      <c r="E5" s="20"/>
      <c r="F5" s="20"/>
    </row>
    <row r="6" customFormat="false" ht="14.25" hidden="false" customHeight="true" outlineLevel="0" collapsed="false">
      <c r="A6" s="17" t="s">
        <v>199</v>
      </c>
      <c r="B6" s="20" t="s">
        <v>200</v>
      </c>
      <c r="C6" s="20"/>
      <c r="D6" s="20"/>
      <c r="E6" s="20"/>
      <c r="F6" s="20"/>
    </row>
    <row r="8" customFormat="false" ht="15" hidden="false" customHeight="true" outlineLevel="0" collapsed="false">
      <c r="A8" s="21" t="s">
        <v>201</v>
      </c>
      <c r="B8" s="21"/>
      <c r="C8" s="21"/>
      <c r="D8" s="21"/>
      <c r="E8" s="21"/>
      <c r="F8" s="21"/>
    </row>
    <row r="9" customFormat="false" ht="14.25" hidden="false" customHeight="true" outlineLevel="0" collapsed="false">
      <c r="A9" s="4" t="s">
        <v>2</v>
      </c>
      <c r="B9" s="4" t="s">
        <v>202</v>
      </c>
      <c r="C9" s="4" t="s">
        <v>6</v>
      </c>
      <c r="D9" s="4" t="s">
        <v>203</v>
      </c>
      <c r="E9" s="4" t="s">
        <v>204</v>
      </c>
      <c r="F9" s="4" t="s">
        <v>205</v>
      </c>
    </row>
    <row r="10" customFormat="false" ht="49.5" hidden="false" customHeight="true" outlineLevel="0" collapsed="false">
      <c r="A10" s="22" t="n">
        <v>1</v>
      </c>
      <c r="B10" s="23" t="s">
        <v>206</v>
      </c>
      <c r="C10" s="24" t="s">
        <v>19</v>
      </c>
      <c r="D10" s="23" t="s">
        <v>207</v>
      </c>
      <c r="E10" s="23" t="s">
        <v>208</v>
      </c>
      <c r="F10" s="23" t="s">
        <v>209</v>
      </c>
    </row>
    <row r="11" customFormat="false" ht="49.5" hidden="false" customHeight="true" outlineLevel="0" collapsed="false">
      <c r="A11" s="22" t="n">
        <v>2</v>
      </c>
      <c r="B11" s="23" t="s">
        <v>210</v>
      </c>
      <c r="C11" s="25" t="s">
        <v>47</v>
      </c>
      <c r="D11" s="23" t="s">
        <v>21</v>
      </c>
      <c r="E11" s="23" t="s">
        <v>211</v>
      </c>
      <c r="F11" s="23" t="s">
        <v>212</v>
      </c>
    </row>
    <row r="12" customFormat="false" ht="49.5" hidden="false" customHeight="true" outlineLevel="0" collapsed="false">
      <c r="A12" s="22" t="n">
        <v>3</v>
      </c>
      <c r="B12" s="26" t="s">
        <v>213</v>
      </c>
      <c r="C12" s="25" t="s">
        <v>47</v>
      </c>
      <c r="D12" s="23" t="s">
        <v>21</v>
      </c>
      <c r="E12" s="23" t="s">
        <v>214</v>
      </c>
      <c r="F12" s="23" t="s">
        <v>215</v>
      </c>
    </row>
    <row r="13" customFormat="false" ht="49.5" hidden="false" customHeight="true" outlineLevel="0" collapsed="false">
      <c r="A13" s="22" t="n">
        <v>4</v>
      </c>
      <c r="B13" s="26" t="s">
        <v>216</v>
      </c>
      <c r="C13" s="25" t="s">
        <v>47</v>
      </c>
      <c r="D13" s="23" t="s">
        <v>21</v>
      </c>
      <c r="E13" s="23" t="s">
        <v>21</v>
      </c>
      <c r="F13" s="23" t="s">
        <v>217</v>
      </c>
    </row>
    <row r="14" customFormat="false" ht="49.5" hidden="false" customHeight="true" outlineLevel="0" collapsed="false">
      <c r="A14" s="22" t="n">
        <v>5</v>
      </c>
      <c r="B14" s="26" t="s">
        <v>218</v>
      </c>
      <c r="C14" s="25" t="s">
        <v>47</v>
      </c>
      <c r="D14" s="23" t="s">
        <v>21</v>
      </c>
      <c r="E14" s="23" t="s">
        <v>21</v>
      </c>
      <c r="F14" s="23" t="s">
        <v>219</v>
      </c>
    </row>
    <row r="16" customFormat="false" ht="14.25" hidden="false" customHeight="true" outlineLevel="0" collapsed="false">
      <c r="A16" s="27" t="s">
        <v>220</v>
      </c>
      <c r="B16" s="27"/>
      <c r="C16" s="27"/>
      <c r="D16" s="27"/>
      <c r="E16" s="27"/>
      <c r="F16" s="27"/>
    </row>
    <row r="17" customFormat="false" ht="14.25" hidden="false" customHeight="true" outlineLevel="0" collapsed="false">
      <c r="A17" s="28" t="n">
        <v>1</v>
      </c>
      <c r="B17" s="29" t="s">
        <v>221</v>
      </c>
      <c r="C17" s="29"/>
      <c r="D17" s="29"/>
      <c r="E17" s="29"/>
      <c r="F17" s="29"/>
    </row>
    <row r="18" customFormat="false" ht="14.25" hidden="false" customHeight="true" outlineLevel="0" collapsed="false">
      <c r="A18" s="28" t="n">
        <v>2</v>
      </c>
      <c r="B18" s="29" t="s">
        <v>222</v>
      </c>
      <c r="C18" s="29"/>
      <c r="D18" s="29"/>
      <c r="E18" s="29"/>
      <c r="F18" s="29"/>
    </row>
    <row r="19" customFormat="false" ht="14.25" hidden="false" customHeight="true" outlineLevel="0" collapsed="false">
      <c r="A19" s="28" t="n">
        <v>3</v>
      </c>
      <c r="B19" s="29" t="s">
        <v>222</v>
      </c>
      <c r="C19" s="29"/>
      <c r="D19" s="29"/>
      <c r="E19" s="29"/>
      <c r="F19" s="29"/>
    </row>
    <row r="21" customFormat="false" ht="14.25" hidden="false" customHeight="true" outlineLevel="0" collapsed="false">
      <c r="A21" s="30" t="s">
        <v>223</v>
      </c>
      <c r="B21" s="30"/>
      <c r="C21" s="30"/>
      <c r="D21" s="30"/>
      <c r="E21" s="30"/>
      <c r="F21" s="30"/>
    </row>
    <row r="22" customFormat="false" ht="14.25" hidden="false" customHeight="true" outlineLevel="0" collapsed="false">
      <c r="A22" s="4" t="s">
        <v>224</v>
      </c>
      <c r="B22" s="4" t="s">
        <v>225</v>
      </c>
      <c r="C22" s="4" t="s">
        <v>4</v>
      </c>
      <c r="D22" s="4" t="s">
        <v>226</v>
      </c>
      <c r="E22" s="4" t="s">
        <v>227</v>
      </c>
      <c r="F22" s="4"/>
    </row>
    <row r="23" customFormat="false" ht="37.5" hidden="false" customHeight="true" outlineLevel="0" collapsed="false">
      <c r="A23" s="31" t="n">
        <v>1</v>
      </c>
      <c r="B23" s="23" t="s">
        <v>228</v>
      </c>
      <c r="C23" s="23" t="s">
        <v>17</v>
      </c>
      <c r="D23" s="23" t="s">
        <v>229</v>
      </c>
      <c r="E23" s="32" t="s">
        <v>230</v>
      </c>
      <c r="F23" s="33"/>
    </row>
    <row r="24" customFormat="false" ht="37.5" hidden="false" customHeight="true" outlineLevel="0" collapsed="false">
      <c r="A24" s="31" t="n">
        <v>2</v>
      </c>
      <c r="B24" s="23" t="s">
        <v>231</v>
      </c>
      <c r="C24" s="23" t="s">
        <v>45</v>
      </c>
      <c r="D24" s="23" t="s">
        <v>229</v>
      </c>
      <c r="E24" s="32" t="s">
        <v>230</v>
      </c>
      <c r="F24" s="33"/>
    </row>
    <row r="25" customFormat="false" ht="37.5" hidden="false" customHeight="true" outlineLevel="0" collapsed="false">
      <c r="A25" s="31" t="n">
        <v>3</v>
      </c>
      <c r="B25" s="23" t="s">
        <v>232</v>
      </c>
      <c r="C25" s="23" t="s">
        <v>233</v>
      </c>
      <c r="D25" s="23" t="s">
        <v>229</v>
      </c>
      <c r="E25" s="34" t="s">
        <v>234</v>
      </c>
      <c r="F25" s="33"/>
    </row>
    <row r="26" customFormat="false" ht="37.5" hidden="false" customHeight="true" outlineLevel="0" collapsed="false">
      <c r="A26" s="31" t="n">
        <v>4</v>
      </c>
      <c r="B26" s="23" t="s">
        <v>235</v>
      </c>
      <c r="C26" s="23" t="s">
        <v>236</v>
      </c>
      <c r="D26" s="23" t="s">
        <v>229</v>
      </c>
      <c r="E26" s="23"/>
      <c r="F26" s="33"/>
    </row>
    <row r="28" customFormat="false" ht="14.25" hidden="false" customHeight="true" outlineLevel="0" collapsed="false">
      <c r="A28" s="35" t="s">
        <v>237</v>
      </c>
      <c r="B28" s="35"/>
      <c r="C28" s="35"/>
      <c r="D28" s="35"/>
      <c r="E28" s="35"/>
      <c r="F28" s="35"/>
    </row>
    <row r="29" customFormat="false" ht="14.25" hidden="false" customHeight="true" outlineLevel="0" collapsed="false">
      <c r="A29" s="4" t="s">
        <v>224</v>
      </c>
      <c r="B29" s="4" t="s">
        <v>238</v>
      </c>
      <c r="C29" s="4" t="s">
        <v>239</v>
      </c>
      <c r="D29" s="4" t="s">
        <v>240</v>
      </c>
      <c r="E29" s="4" t="s">
        <v>4</v>
      </c>
      <c r="F29" s="4"/>
    </row>
    <row r="30" customFormat="false" ht="37.5" hidden="false" customHeight="true" outlineLevel="0" collapsed="false">
      <c r="A30" s="31" t="n">
        <v>1</v>
      </c>
      <c r="B30" s="23" t="s">
        <v>241</v>
      </c>
      <c r="C30" s="23" t="s">
        <v>242</v>
      </c>
      <c r="D30" s="23" t="s">
        <v>243</v>
      </c>
      <c r="E30" s="23" t="s">
        <v>17</v>
      </c>
      <c r="F30" s="33"/>
    </row>
    <row r="31" customFormat="false" ht="37.5" hidden="false" customHeight="true" outlineLevel="0" collapsed="false">
      <c r="A31" s="31" t="n">
        <v>2</v>
      </c>
      <c r="B31" s="23" t="s">
        <v>244</v>
      </c>
      <c r="C31" s="23" t="s">
        <v>245</v>
      </c>
      <c r="D31" s="23" t="s">
        <v>246</v>
      </c>
      <c r="E31" s="23" t="s">
        <v>247</v>
      </c>
      <c r="F31" s="33"/>
    </row>
    <row r="32" customFormat="false" ht="37.5" hidden="false" customHeight="true" outlineLevel="0" collapsed="false">
      <c r="A32" s="31" t="n">
        <v>3</v>
      </c>
      <c r="B32" s="23" t="s">
        <v>248</v>
      </c>
      <c r="C32" s="23" t="s">
        <v>249</v>
      </c>
      <c r="D32" s="23" t="s">
        <v>250</v>
      </c>
      <c r="E32" s="23" t="s">
        <v>251</v>
      </c>
      <c r="F32" s="33"/>
    </row>
    <row r="33" customFormat="false" ht="37.5" hidden="false" customHeight="true" outlineLevel="0" collapsed="false">
      <c r="A33" s="31" t="n">
        <v>4</v>
      </c>
      <c r="B33" s="23" t="s">
        <v>252</v>
      </c>
      <c r="C33" s="23"/>
      <c r="D33" s="23"/>
      <c r="E33" s="23"/>
      <c r="F33" s="33"/>
    </row>
    <row r="35" customFormat="false" ht="14.25" hidden="false" customHeight="true" outlineLevel="0" collapsed="false">
      <c r="A35" s="36" t="s">
        <v>253</v>
      </c>
      <c r="B35" s="36"/>
      <c r="C35" s="36"/>
      <c r="D35" s="36"/>
      <c r="E35" s="36"/>
      <c r="F35" s="36"/>
    </row>
    <row r="36" customFormat="false" ht="16.5" hidden="false" customHeight="true" outlineLevel="0" collapsed="false">
      <c r="A36" s="4" t="s">
        <v>224</v>
      </c>
      <c r="B36" s="4" t="s">
        <v>254</v>
      </c>
      <c r="C36" s="4" t="s">
        <v>255</v>
      </c>
      <c r="D36" s="4" t="s">
        <v>256</v>
      </c>
      <c r="E36" s="4"/>
      <c r="F36" s="4"/>
    </row>
    <row r="37" customFormat="false" ht="48" hidden="false" customHeight="true" outlineLevel="0" collapsed="false">
      <c r="A37" s="31" t="n">
        <v>1</v>
      </c>
      <c r="B37" s="23" t="s">
        <v>257</v>
      </c>
      <c r="C37" s="23" t="s">
        <v>258</v>
      </c>
      <c r="D37" s="23" t="s">
        <v>229</v>
      </c>
      <c r="E37" s="33"/>
      <c r="F37" s="33"/>
    </row>
    <row r="38" customFormat="false" ht="48" hidden="false" customHeight="true" outlineLevel="0" collapsed="false">
      <c r="A38" s="31" t="n">
        <v>2</v>
      </c>
      <c r="B38" s="23" t="s">
        <v>259</v>
      </c>
      <c r="C38" s="23" t="s">
        <v>260</v>
      </c>
      <c r="D38" s="23" t="s">
        <v>229</v>
      </c>
      <c r="E38" s="33"/>
      <c r="F38" s="33"/>
    </row>
    <row r="39" customFormat="false" ht="48" hidden="false" customHeight="true" outlineLevel="0" collapsed="false">
      <c r="A39" s="31" t="n">
        <v>3</v>
      </c>
      <c r="B39" s="23" t="s">
        <v>261</v>
      </c>
      <c r="C39" s="23" t="s">
        <v>258</v>
      </c>
      <c r="D39" s="23" t="s">
        <v>229</v>
      </c>
      <c r="E39" s="33"/>
      <c r="F39" s="33"/>
    </row>
  </sheetData>
  <mergeCells count="13">
    <mergeCell ref="A1:F1"/>
    <mergeCell ref="B3:F3"/>
    <mergeCell ref="B4:F4"/>
    <mergeCell ref="B5:F5"/>
    <mergeCell ref="B6:F6"/>
    <mergeCell ref="A8:F8"/>
    <mergeCell ref="A16:F16"/>
    <mergeCell ref="B17:F17"/>
    <mergeCell ref="B18:F18"/>
    <mergeCell ref="B19:F19"/>
    <mergeCell ref="A21:F21"/>
    <mergeCell ref="A28:F28"/>
    <mergeCell ref="A35:F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pageBreakPreview" topLeftCell="A31" colorId="64" zoomScale="124" zoomScaleNormal="100" zoomScalePageLayoutView="124" workbookViewId="0">
      <selection pane="topLeft" activeCell="F3" activeCellId="0" sqref="F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45"/>
    <col collapsed="false" customWidth="true" hidden="false" outlineLevel="0" max="5" min="5" style="1" width="30"/>
    <col collapsed="false" customWidth="true" hidden="false" outlineLevel="0" max="6" min="6" style="1" width="14"/>
    <col collapsed="false" customWidth="true" hidden="false" outlineLevel="0" max="7" min="7" style="1" width="8"/>
  </cols>
  <sheetData>
    <row r="1" customFormat="false" ht="17.25" hidden="false" customHeight="true" outlineLevel="0" collapsed="false">
      <c r="A1" s="37" t="s">
        <v>262</v>
      </c>
      <c r="B1" s="37"/>
      <c r="C1" s="37"/>
      <c r="D1" s="37"/>
      <c r="E1" s="37"/>
      <c r="F1" s="37"/>
      <c r="G1" s="37"/>
    </row>
    <row r="3" customFormat="false" ht="14.25" hidden="false" customHeight="true" outlineLevel="0" collapsed="false">
      <c r="A3" s="4" t="s">
        <v>263</v>
      </c>
      <c r="B3" s="4" t="s">
        <v>264</v>
      </c>
      <c r="C3" s="4" t="s">
        <v>2</v>
      </c>
      <c r="D3" s="4" t="s">
        <v>265</v>
      </c>
      <c r="E3" s="4" t="s">
        <v>266</v>
      </c>
      <c r="F3" s="4" t="s">
        <v>267</v>
      </c>
      <c r="G3" s="4" t="s">
        <v>268</v>
      </c>
    </row>
    <row r="4" customFormat="false" ht="45" hidden="false" customHeight="true" outlineLevel="0" collapsed="false">
      <c r="A4" s="23" t="s">
        <v>15</v>
      </c>
      <c r="B4" s="23" t="s">
        <v>269</v>
      </c>
      <c r="C4" s="23" t="s">
        <v>15</v>
      </c>
      <c r="D4" s="23" t="s">
        <v>270</v>
      </c>
      <c r="E4" s="23" t="s">
        <v>271</v>
      </c>
      <c r="F4" s="24" t="s">
        <v>272</v>
      </c>
      <c r="G4" s="23"/>
    </row>
    <row r="5" customFormat="false" ht="14.25" hidden="false" customHeight="true" outlineLevel="0" collapsed="false">
      <c r="A5" s="38"/>
      <c r="B5" s="38"/>
      <c r="C5" s="38"/>
      <c r="D5" s="38"/>
      <c r="E5" s="38"/>
      <c r="F5" s="38"/>
      <c r="G5" s="38"/>
    </row>
    <row r="6" customFormat="false" ht="14.25" hidden="false" customHeight="true" outlineLevel="0" collapsed="false">
      <c r="A6" s="38"/>
      <c r="B6" s="38"/>
      <c r="C6" s="38"/>
      <c r="D6" s="38"/>
      <c r="E6" s="38"/>
      <c r="F6" s="38"/>
      <c r="G6" s="38"/>
    </row>
    <row r="7" customFormat="false" ht="14.25" hidden="false" customHeight="true" outlineLevel="0" collapsed="false">
      <c r="A7" s="38"/>
      <c r="B7" s="38"/>
      <c r="C7" s="38"/>
      <c r="D7" s="38"/>
      <c r="E7" s="38"/>
      <c r="F7" s="38"/>
      <c r="G7" s="38"/>
    </row>
    <row r="8" customFormat="false" ht="14.25" hidden="false" customHeight="true" outlineLevel="0" collapsed="false">
      <c r="A8" s="38"/>
      <c r="B8" s="38"/>
      <c r="C8" s="38"/>
      <c r="D8" s="38"/>
      <c r="E8" s="38"/>
      <c r="F8" s="38"/>
      <c r="G8" s="38"/>
    </row>
    <row r="9" customFormat="false" ht="14.25" hidden="false" customHeight="true" outlineLevel="0" collapsed="false">
      <c r="A9" s="38"/>
      <c r="B9" s="38"/>
      <c r="C9" s="38"/>
      <c r="D9" s="38"/>
      <c r="E9" s="38"/>
      <c r="F9" s="38"/>
      <c r="G9" s="38"/>
    </row>
    <row r="10" customFormat="false" ht="14.25" hidden="false" customHeight="true" outlineLevel="0" collapsed="false">
      <c r="A10" s="38"/>
      <c r="B10" s="38"/>
      <c r="C10" s="38"/>
      <c r="D10" s="38"/>
      <c r="E10" s="38"/>
      <c r="F10" s="38"/>
      <c r="G10" s="38"/>
    </row>
    <row r="11" customFormat="false" ht="14.25" hidden="false" customHeight="true" outlineLevel="0" collapsed="false">
      <c r="A11" s="38"/>
      <c r="B11" s="38"/>
      <c r="C11" s="38"/>
      <c r="D11" s="38"/>
      <c r="E11" s="38"/>
      <c r="F11" s="38"/>
      <c r="G11" s="38"/>
    </row>
    <row r="12" customFormat="false" ht="14.25" hidden="false" customHeight="true" outlineLevel="0" collapsed="false">
      <c r="A12" s="38"/>
      <c r="B12" s="38"/>
      <c r="C12" s="38"/>
      <c r="D12" s="38"/>
      <c r="E12" s="38"/>
      <c r="F12" s="38"/>
      <c r="G12" s="38"/>
    </row>
    <row r="13" customFormat="false" ht="14.25" hidden="false" customHeight="true" outlineLevel="0" collapsed="false">
      <c r="A13" s="38"/>
      <c r="B13" s="38"/>
      <c r="C13" s="38"/>
      <c r="D13" s="38"/>
      <c r="E13" s="38"/>
      <c r="F13" s="38"/>
      <c r="G13" s="38"/>
    </row>
    <row r="14" customFormat="false" ht="14.25" hidden="false" customHeight="true" outlineLevel="0" collapsed="false">
      <c r="A14" s="38"/>
      <c r="B14" s="38"/>
      <c r="C14" s="38"/>
      <c r="D14" s="38"/>
      <c r="E14" s="38"/>
      <c r="F14" s="38"/>
      <c r="G14" s="38"/>
    </row>
    <row r="15" customFormat="false" ht="14.25" hidden="false" customHeight="true" outlineLevel="0" collapsed="false">
      <c r="A15" s="38"/>
      <c r="B15" s="38"/>
      <c r="C15" s="38"/>
      <c r="D15" s="38"/>
      <c r="E15" s="38"/>
      <c r="F15" s="38"/>
      <c r="G15" s="38"/>
    </row>
    <row r="16" customFormat="false" ht="14.25" hidden="false" customHeight="true" outlineLevel="0" collapsed="false">
      <c r="A16" s="38"/>
      <c r="B16" s="38"/>
      <c r="C16" s="38"/>
      <c r="D16" s="38"/>
      <c r="E16" s="38"/>
      <c r="F16" s="38"/>
      <c r="G16" s="38"/>
    </row>
    <row r="17" customFormat="false" ht="14.25" hidden="false" customHeight="true" outlineLevel="0" collapsed="false">
      <c r="A17" s="38"/>
      <c r="B17" s="38"/>
      <c r="C17" s="38"/>
      <c r="D17" s="38"/>
      <c r="E17" s="38"/>
      <c r="F17" s="38"/>
      <c r="G17" s="38"/>
    </row>
    <row r="18" customFormat="false" ht="14.25" hidden="false" customHeight="true" outlineLevel="0" collapsed="false">
      <c r="A18" s="38"/>
      <c r="B18" s="38"/>
      <c r="C18" s="38"/>
      <c r="D18" s="38"/>
      <c r="E18" s="38"/>
      <c r="F18" s="38"/>
      <c r="G18" s="38"/>
    </row>
    <row r="19" customFormat="false" ht="14.25" hidden="false" customHeight="true" outlineLevel="0" collapsed="false">
      <c r="A19" s="38"/>
      <c r="B19" s="38"/>
      <c r="C19" s="38"/>
      <c r="D19" s="38"/>
      <c r="E19" s="38"/>
      <c r="F19" s="38"/>
      <c r="G19" s="38"/>
    </row>
    <row r="20" customFormat="false" ht="14.25" hidden="false" customHeight="true" outlineLevel="0" collapsed="false">
      <c r="A20" s="38"/>
      <c r="B20" s="38"/>
      <c r="C20" s="38"/>
      <c r="D20" s="38"/>
      <c r="E20" s="38"/>
      <c r="F20" s="38"/>
      <c r="G20" s="38"/>
    </row>
    <row r="21" customFormat="false" ht="14.25" hidden="false" customHeight="true" outlineLevel="0" collapsed="false">
      <c r="A21" s="38"/>
      <c r="B21" s="38"/>
      <c r="C21" s="38"/>
      <c r="D21" s="38"/>
      <c r="E21" s="38"/>
      <c r="F21" s="38"/>
      <c r="G21" s="38"/>
    </row>
    <row r="22" customFormat="false" ht="14.25" hidden="false" customHeight="true" outlineLevel="0" collapsed="false">
      <c r="A22" s="38"/>
      <c r="B22" s="38"/>
      <c r="C22" s="38"/>
      <c r="D22" s="38"/>
      <c r="E22" s="38"/>
      <c r="F22" s="38"/>
      <c r="G22" s="38"/>
    </row>
    <row r="23" customFormat="false" ht="14.25" hidden="false" customHeight="true" outlineLevel="0" collapsed="false">
      <c r="A23" s="38"/>
      <c r="B23" s="38"/>
      <c r="C23" s="38"/>
      <c r="D23" s="38"/>
      <c r="E23" s="38"/>
      <c r="F23" s="38"/>
      <c r="G23" s="38"/>
    </row>
    <row r="24" customFormat="false" ht="14.25" hidden="false" customHeight="true" outlineLevel="0" collapsed="false">
      <c r="A24" s="38"/>
      <c r="B24" s="38"/>
      <c r="C24" s="38"/>
      <c r="D24" s="38"/>
      <c r="E24" s="38"/>
      <c r="F24" s="38"/>
      <c r="G24" s="38"/>
    </row>
    <row r="25" customFormat="false" ht="14.25" hidden="false" customHeight="true" outlineLevel="0" collapsed="false">
      <c r="A25" s="38"/>
      <c r="B25" s="38"/>
      <c r="C25" s="38"/>
      <c r="D25" s="38"/>
      <c r="E25" s="38"/>
      <c r="F25" s="38"/>
      <c r="G25" s="38"/>
    </row>
    <row r="26" customFormat="false" ht="14.25" hidden="false" customHeight="true" outlineLevel="0" collapsed="false">
      <c r="A26" s="38"/>
      <c r="B26" s="38"/>
      <c r="C26" s="38"/>
      <c r="D26" s="38"/>
      <c r="E26" s="38"/>
      <c r="F26" s="38"/>
      <c r="G26" s="38"/>
    </row>
    <row r="27" customFormat="false" ht="14.25" hidden="false" customHeight="true" outlineLevel="0" collapsed="false">
      <c r="A27" s="38"/>
      <c r="B27" s="38"/>
      <c r="C27" s="38"/>
      <c r="D27" s="38"/>
      <c r="E27" s="38"/>
      <c r="F27" s="38"/>
      <c r="G27" s="38"/>
    </row>
    <row r="28" customFormat="false" ht="14.25" hidden="false" customHeight="true" outlineLevel="0" collapsed="false">
      <c r="A28" s="38"/>
      <c r="B28" s="38"/>
      <c r="C28" s="38"/>
      <c r="D28" s="38"/>
      <c r="E28" s="38"/>
      <c r="F28" s="38"/>
      <c r="G28" s="38"/>
    </row>
    <row r="29" customFormat="false" ht="14.25" hidden="false" customHeight="true" outlineLevel="0" collapsed="false">
      <c r="A29" s="38"/>
      <c r="B29" s="38"/>
      <c r="C29" s="38"/>
      <c r="D29" s="38"/>
      <c r="E29" s="38"/>
      <c r="F29" s="38"/>
      <c r="G29" s="38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2026-02-23T20:57:06Z</dcterms:created>
  <dc:creator>openpyxl</dc:creator>
  <dc:description/>
  <dc:language>en-US</dc:language>
  <cp:lastModifiedBy>Alan Richardson</cp:lastModifiedBy>
  <dcterms:modified xsi:type="dcterms:W3CDTF">2026-02-24T03:17:26Z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