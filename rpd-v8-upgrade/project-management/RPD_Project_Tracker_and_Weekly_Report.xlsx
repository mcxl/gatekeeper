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AlanRichardson\gatekeeper\rpd-v8-upgrade\project-management\"/>
    </mc:Choice>
  </mc:AlternateContent>
  <xr:revisionPtr revIDLastSave="0" documentId="13_ncr:1_{D9F23786-0B78-4CE4-B6ED-90BE0AC7B4B8}" xr6:coauthVersionLast="47" xr6:coauthVersionMax="47" xr10:uidLastSave="{00000000-0000-0000-0000-000000000000}"/>
  <bookViews>
    <workbookView xWindow="30870" yWindow="-2985" windowWidth="10155" windowHeight="6945" tabRatio="500" xr2:uid="{00000000-000D-0000-FFFF-FFFF00000000}"/>
  </bookViews>
  <sheets>
    <sheet name="Project Tracker" sheetId="1" r:id="rId1"/>
    <sheet name="Weekly Status Report" sheetId="2" r:id="rId2"/>
    <sheet name="Progress Log" sheetId="3" r:id="rId3"/>
  </sheets>
  <definedNames>
    <definedName name="_xlnm.Print_Area" localSheetId="2">'Progress Log'!$A$1:$G$29</definedName>
    <definedName name="_xlnm.Print_Area" localSheetId="0">'Project Tracker'!$A$1:$J$28</definedName>
    <definedName name="_xlnm.Print_Area" localSheetId="1">'Weekly Status Report'!$A$1:$F$39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41" i="1" l="1"/>
  <c r="K41" i="1"/>
  <c r="M5" i="1"/>
  <c r="M6" i="1" s="1"/>
  <c r="M7" i="1" s="1"/>
  <c r="M8" i="1" s="1"/>
  <c r="M9" i="1" s="1"/>
  <c r="M10" i="1" s="1"/>
  <c r="M11" i="1" s="1"/>
  <c r="M12" i="1" s="1"/>
  <c r="M13" i="1" s="1"/>
  <c r="M14" i="1" s="1"/>
  <c r="M15" i="1" s="1"/>
  <c r="M16" i="1" s="1"/>
  <c r="M17" i="1" s="1"/>
  <c r="M18" i="1" s="1"/>
  <c r="M19" i="1" s="1"/>
  <c r="M20" i="1" s="1"/>
  <c r="M21" i="1" s="1"/>
  <c r="M22" i="1" s="1"/>
  <c r="M23" i="1" s="1"/>
  <c r="M24" i="1" s="1"/>
  <c r="M25" i="1" s="1"/>
  <c r="M26" i="1" s="1"/>
  <c r="M27" i="1" s="1"/>
  <c r="M28" i="1" s="1"/>
  <c r="M29" i="1" s="1"/>
  <c r="M30" i="1" s="1"/>
  <c r="M31" i="1" s="1"/>
  <c r="M32" i="1" s="1"/>
  <c r="M33" i="1" s="1"/>
  <c r="M34" i="1" s="1"/>
  <c r="M35" i="1" s="1"/>
  <c r="M36" i="1" s="1"/>
  <c r="M37" i="1" s="1"/>
  <c r="M38" i="1" s="1"/>
  <c r="M39" i="1" s="1"/>
  <c r="M41" i="1" s="1"/>
</calcChain>
</file>

<file path=xl/sharedStrings.xml><?xml version="1.0" encoding="utf-8"?>
<sst xmlns="http://schemas.openxmlformats.org/spreadsheetml/2006/main" count="478" uniqueCount="273">
  <si>
    <t>RPD WHS SYSTEM UPGRADE AND BREADCRUMB MIGRATION — PROJECT TRACKER</t>
  </si>
  <si>
    <t>Client: Robertson's Remedial and Painting Pty Ltd  |  Alan @ AuditCo  |  Project Start: February 2026</t>
  </si>
  <si>
    <t>Phase</t>
  </si>
  <si>
    <t>Task</t>
  </si>
  <si>
    <t>Owner</t>
  </si>
  <si>
    <t>Target Date</t>
  </si>
  <si>
    <t>Status</t>
  </si>
  <si>
    <t>% Complete</t>
  </si>
  <si>
    <t>Depends On</t>
  </si>
  <si>
    <t>Deliverable</t>
  </si>
  <si>
    <t>Notes</t>
  </si>
  <si>
    <t>Week Updated</t>
  </si>
  <si>
    <t>Est. Hours</t>
  </si>
  <si>
    <t>Actual Hours</t>
  </si>
  <si>
    <t>Cumulative Hrs</t>
  </si>
  <si>
    <t>1</t>
  </si>
  <si>
    <t>Gap analysis: RPD WHSMS V7 vs Ed.6 bare minimum</t>
  </si>
  <si>
    <t>Alan</t>
  </si>
  <si>
    <t>14 Feb 2026</t>
  </si>
  <si>
    <t>DONE</t>
  </si>
  <si>
    <t>100%</t>
  </si>
  <si>
    <t>—</t>
  </si>
  <si>
    <t>Bare Minimum Ed.6 Review (.docx)</t>
  </si>
  <si>
    <t>Both ISO and bare minimum versions delivered.</t>
  </si>
  <si>
    <t>Wk 2</t>
  </si>
  <si>
    <t>Document register: map every V7 form/register to status</t>
  </si>
  <si>
    <t>Gap analysis</t>
  </si>
  <si>
    <t>Phase 1 Document Register (.xlsx)</t>
  </si>
  <si>
    <t>40 items mapped. Breadcrumb checklist included.</t>
  </si>
  <si>
    <t>SWMS consolidation traceability map</t>
  </si>
  <si>
    <t>24 Feb 2026</t>
  </si>
  <si>
    <t>Traceability Map (.xlsx)</t>
  </si>
  <si>
    <t>46 docs → 15 docs. Full audit trail.</t>
  </si>
  <si>
    <t>Wk 4</t>
  </si>
  <si>
    <t>Demo procedures × 8</t>
  </si>
  <si>
    <t>8 procedure .docx files</t>
  </si>
  <si>
    <t>Before/During/After format. Benchmarked to HY.</t>
  </si>
  <si>
    <t>Project tracker, weekly report, repo setup</t>
  </si>
  <si>
    <t>Tracker (.xlsx), Git repo</t>
  </si>
  <si>
    <t>All deliverables pushed to Gatekeeper repo.</t>
  </si>
  <si>
    <t>Archive original SWIs and SWMS to repo</t>
  </si>
  <si>
    <t>Traceability map</t>
  </si>
  <si>
    <t>archive-originals/ folder</t>
  </si>
  <si>
    <t>Full traceability chain: originals → map → new.</t>
  </si>
  <si>
    <t>Breadcrumb verification: confirm module capabilities</t>
  </si>
  <si>
    <t>Alan + RPD</t>
  </si>
  <si>
    <t>28 Feb 2026</t>
  </si>
  <si>
    <t>NOT STARTED</t>
  </si>
  <si>
    <t>0%</t>
  </si>
  <si>
    <t>Document register</t>
  </si>
  <si>
    <t>Breadcrumb Verification Checklist</t>
  </si>
  <si>
    <t>Requires RPD Breadcrumb login. 15 modules.</t>
  </si>
  <si>
    <t>Present Phase 1 findings to RPD management</t>
  </si>
  <si>
    <t>7 Mar 2026</t>
  </si>
  <si>
    <t>Verification</t>
  </si>
  <si>
    <t>Meeting + status report</t>
  </si>
  <si>
    <t>Approve elimination list. Confirm SWMS-first approach.</t>
  </si>
  <si>
    <t>2B</t>
  </si>
  <si>
    <t>Master SWMS — Remedial Works</t>
  </si>
  <si>
    <t>14 Mar 2026</t>
  </si>
  <si>
    <t>Phase 1 sign-off</t>
  </si>
  <si>
    <t>Master SWMS (.docx)</t>
  </si>
  <si>
    <t>Absorbs 15 SWMS + 8 SWIs. Largest master.</t>
  </si>
  <si>
    <t>Master SWMS — Painting Works</t>
  </si>
  <si>
    <t>21 Mar 2026</t>
  </si>
  <si>
    <t>Remedial SWMS</t>
  </si>
  <si>
    <t>Absorbs 3 SWMS + 4 SWIs.</t>
  </si>
  <si>
    <t>Master SWMS — Spray Painting</t>
  </si>
  <si>
    <t>25 Mar 2026</t>
  </si>
  <si>
    <t>Painting SWMS</t>
  </si>
  <si>
    <t>Absorbs 3 SWMS + 3 SWIs.</t>
  </si>
  <si>
    <t>Master SWMS — Groundworks inc. Excavation &amp; Landscaping</t>
  </si>
  <si>
    <t>28 Mar 2026</t>
  </si>
  <si>
    <t>Spray SWMS</t>
  </si>
  <si>
    <t>Absorbs 5 SWMS + 3 SWIs.</t>
  </si>
  <si>
    <t>Master SWMS — Cladding Works</t>
  </si>
  <si>
    <t>1 Apr 2026</t>
  </si>
  <si>
    <t>Groundworks SWMS</t>
  </si>
  <si>
    <t>Absorbs 2 SWMS + 3 SWIs.</t>
  </si>
  <si>
    <t>Upgrade 10 Standalone SWMS (EWP, scaffold, swing stage etc)</t>
  </si>
  <si>
    <t>11 Apr 2026</t>
  </si>
  <si>
    <t>All Masters</t>
  </si>
  <si>
    <t>10 upgraded SWMS (.docx)</t>
  </si>
  <si>
    <t>Review, update to V8 format, benchmark to HY.</t>
  </si>
  <si>
    <t>RPD supervisor review of all SWMS</t>
  </si>
  <si>
    <t>RPD Supervisors</t>
  </si>
  <si>
    <t>25 Apr 2026</t>
  </si>
  <si>
    <t>All SWMS</t>
  </si>
  <si>
    <t>Signed-off SWMS register</t>
  </si>
  <si>
    <t>Allow 2 weeks for site supervisor review.</t>
  </si>
  <si>
    <t>2A</t>
  </si>
  <si>
    <t>Draft V8 Section 1: Senior Management Commitment</t>
  </si>
  <si>
    <t>2 May 2026</t>
  </si>
  <si>
    <t>SWMS complete</t>
  </si>
  <si>
    <t>V8 Section 1 (.docx)</t>
  </si>
  <si>
    <t>Merge policies. Remove ISO content. Plain English.</t>
  </si>
  <si>
    <t>Draft V8 Section 2: Communication &amp; Consultation</t>
  </si>
  <si>
    <t>6 May 2026</t>
  </si>
  <si>
    <t>Section 1</t>
  </si>
  <si>
    <t>V8 Section 2 (.docx)</t>
  </si>
  <si>
    <t>Add Breadcrumb references for toolbox talks.</t>
  </si>
  <si>
    <t>Draft V8 Section 3: Managing Service Providers</t>
  </si>
  <si>
    <t>9 May 2026</t>
  </si>
  <si>
    <t>Section 2</t>
  </si>
  <si>
    <t>V8 Section 3 (.docx)</t>
  </si>
  <si>
    <t>Streamline pre-qual. Breadcrumb contractor module.</t>
  </si>
  <si>
    <t>Draft V8 Section 4: Risk Management + Procedures</t>
  </si>
  <si>
    <t>16 May 2026</t>
  </si>
  <si>
    <t>Section 3</t>
  </si>
  <si>
    <t>V8 Section 4 + procedures (.docx)</t>
  </si>
  <si>
    <t>Merge policies+procedures. Largest section.</t>
  </si>
  <si>
    <t>Draft V8 Sections 5–11: Training through Records</t>
  </si>
  <si>
    <t>30 May 2026</t>
  </si>
  <si>
    <t>Section 4</t>
  </si>
  <si>
    <t>V8 Sections 5–11 (.docx)</t>
  </si>
  <si>
    <t>Merge incident + corrective action. Remove ISO inputs.</t>
  </si>
  <si>
    <t>RPD management review of V8 draft</t>
  </si>
  <si>
    <t>RPD Director</t>
  </si>
  <si>
    <t>13 Jun 2026</t>
  </si>
  <si>
    <t>All V8 drafts</t>
  </si>
  <si>
    <t>Marked-up draft + feedback</t>
  </si>
  <si>
    <t>Allow 2 weeks for Leslie to review.</t>
  </si>
  <si>
    <t>V8 revisions and final issue</t>
  </si>
  <si>
    <t>20 Jun 2026</t>
  </si>
  <si>
    <t>Mgmt review</t>
  </si>
  <si>
    <t>RPD WHSMS V8 (.docx + PDF)</t>
  </si>
  <si>
    <t>Target: 100–120 pages. Signed by Director.</t>
  </si>
  <si>
    <t>3</t>
  </si>
  <si>
    <t>Configure Breadcrumb: toolbox, hazards, inspections</t>
  </si>
  <si>
    <t>27 Jun 2026</t>
  </si>
  <si>
    <t>V8 issued</t>
  </si>
  <si>
    <t>Configured modules</t>
  </si>
  <si>
    <t>HIGH priority forms first.</t>
  </si>
  <si>
    <t>Configure Breadcrumb: inductions, competency tracking</t>
  </si>
  <si>
    <t>4 Jul 2026</t>
  </si>
  <si>
    <t>Config block 1</t>
  </si>
  <si>
    <t>Bulk import training/licence data.</t>
  </si>
  <si>
    <t>Configure Breadcrumb: incidents, corrective actions</t>
  </si>
  <si>
    <t>11 Jul 2026</t>
  </si>
  <si>
    <t>Config block 2</t>
  </si>
  <si>
    <t>Test auto-notify for notifiable incidents.</t>
  </si>
  <si>
    <t>Configure Breadcrumb: contractors, assets, SWMS</t>
  </si>
  <si>
    <t>18 Jul 2026</t>
  </si>
  <si>
    <t>Config block 3</t>
  </si>
  <si>
    <t>Bulk import registers. Upload all SWMS.</t>
  </si>
  <si>
    <t>Custom templates (Subcontractor Statement, RTW Plan)</t>
  </si>
  <si>
    <t>22 Jul 2026</t>
  </si>
  <si>
    <t>All config</t>
  </si>
  <si>
    <t>Custom Breadcrumb templates</t>
  </si>
  <si>
    <t>Only if Breadcrumb can't handle natively.</t>
  </si>
  <si>
    <t>Parallel run: paper + Breadcrumb (4–8 weeks)</t>
  </si>
  <si>
    <t>RPD site teams</t>
  </si>
  <si>
    <t>29 Aug 2026</t>
  </si>
  <si>
    <t>Parallel run log</t>
  </si>
  <si>
    <t>4 weeks HIGH priority, 8 weeks registers.</t>
  </si>
  <si>
    <t>4</t>
  </si>
  <si>
    <t>Develop re-induction package for V8 + Breadcrumb</t>
  </si>
  <si>
    <t>5 Sep 2026</t>
  </si>
  <si>
    <t>V8 issued + config</t>
  </si>
  <si>
    <t>Induction presentation + quiz</t>
  </si>
  <si>
    <t>Cover: what changed, Breadcrumb how-to.</t>
  </si>
  <si>
    <t>Deliver re-induction to all RPD workers</t>
  </si>
  <si>
    <t>12 Sep 2026</t>
  </si>
  <si>
    <t>Re-induction pkg</t>
  </si>
  <si>
    <t>Induction records (Breadcrumb)</t>
  </si>
  <si>
    <t>Record in Breadcrumb induction module.</t>
  </si>
  <si>
    <t>Supervisor training on Breadcrumb admin</t>
  </si>
  <si>
    <t>19 Sep 2026</t>
  </si>
  <si>
    <t>Re-induction</t>
  </si>
  <si>
    <t>Training records</t>
  </si>
  <si>
    <t>PMs + supervisors need admin training.</t>
  </si>
  <si>
    <t>5</t>
  </si>
  <si>
    <t>Withdraw superseded .docx forms</t>
  </si>
  <si>
    <t>26 Sep 2026</t>
  </si>
  <si>
    <t>Parallel run done</t>
  </si>
  <si>
    <t>Updated document register</t>
  </si>
  <si>
    <t>Watermark SUPERSEDED. Archive, don't delete.</t>
  </si>
  <si>
    <t>Post-implementation internal audit (Ed.6 checklists)</t>
  </si>
  <si>
    <t>10 Oct 2026</t>
  </si>
  <si>
    <t>V8 + Breadcrumb live</t>
  </si>
  <si>
    <t>Internal Audit Report (.docx)</t>
  </si>
  <si>
    <t>Full Ed.6 checklists 1–12.</t>
  </si>
  <si>
    <t>Management review meeting</t>
  </si>
  <si>
    <t>RPD Director + Alan</t>
  </si>
  <si>
    <t>17 Oct 2026</t>
  </si>
  <si>
    <t>Internal audit</t>
  </si>
  <si>
    <t>Management Review Minutes</t>
  </si>
  <si>
    <t>Review V8 effectiveness, adoption, CAs.</t>
  </si>
  <si>
    <t>Close out project</t>
  </si>
  <si>
    <t>24 Oct 2026</t>
  </si>
  <si>
    <t>Project close-out report</t>
  </si>
  <si>
    <t>Confirm Ed.6 compliance. Hand over.</t>
  </si>
  <si>
    <t>TOTALS:</t>
  </si>
  <si>
    <t>RPD WHS SYSTEM UPGRADE — WEEKLY STATUS REPORT</t>
  </si>
  <si>
    <t>Week Ending:</t>
  </si>
  <si>
    <t>Prepared By:</t>
  </si>
  <si>
    <t>Alan @ AuditCo</t>
  </si>
  <si>
    <t>For:</t>
  </si>
  <si>
    <t>Leslie Robertson (RPD Director) / Nick V</t>
  </si>
  <si>
    <t>Project:</t>
  </si>
  <si>
    <t>RPD WHSMS V8 Upgrade And Breadcrumb Digital Migration</t>
  </si>
  <si>
    <t>OVERALL PROJECT STATUS</t>
  </si>
  <si>
    <t>Description</t>
  </si>
  <si>
    <t>This Week</t>
  </si>
  <si>
    <t>Next Week</t>
  </si>
  <si>
    <t>Risks / Issues</t>
  </si>
  <si>
    <t>Gap Analysis &amp; Scoping</t>
  </si>
  <si>
    <t>Gap analysis and document register completed. Delivered to RPD.</t>
  </si>
  <si>
    <t>Present findings to RPD management. Schedule Breadcrumb verification session.</t>
  </si>
  <si>
    <t>None</t>
  </si>
  <si>
    <t>WHS Management Plan V8</t>
  </si>
  <si>
    <t>Awaiting Phase 1 sign-off before commencing V8 drafting.</t>
  </si>
  <si>
    <t>Delay if RPD management review takes longer than 1 week.</t>
  </si>
  <si>
    <t>Form and Template Migration</t>
  </si>
  <si>
    <t>Awaiting Breadcrumb verification.</t>
  </si>
  <si>
    <t>Breadcrumb module gaps could delay migration.</t>
  </si>
  <si>
    <t>Training and Competency</t>
  </si>
  <si>
    <t>Scheduling site re-inductions depends on Phase 2+3 completion.</t>
  </si>
  <si>
    <t>Verification and Close-out</t>
  </si>
  <si>
    <t>Internal audit timing depends on all prior phases.</t>
  </si>
  <si>
    <t>KEY ACHIEVEMENTS THIS WEEK</t>
  </si>
  <si>
    <t>Completed bare minimum Ed.6 gap analysis — 22 sections identified for elimination, 14 forms for Breadcrumb migration.</t>
  </si>
  <si>
    <t>[Enter achievement]</t>
  </si>
  <si>
    <t>ACTIONS FOR NEXT WEEK</t>
  </si>
  <si>
    <t>#</t>
  </si>
  <si>
    <t>Action</t>
  </si>
  <si>
    <t>Due</t>
  </si>
  <si>
    <t>Priority</t>
  </si>
  <si>
    <t>Present Phase 1 gap analysis to Leslie Robertson for approval</t>
  </si>
  <si>
    <t>[DATE]</t>
  </si>
  <si>
    <t>HIGH</t>
  </si>
  <si>
    <t>Schedule Breadcrumb verification session (need login access)</t>
  </si>
  <si>
    <t>Confirm elimination list — any items RPD wants to keep despite Ed.6?</t>
  </si>
  <si>
    <t>Leslie / Alan</t>
  </si>
  <si>
    <t>MEDIUM</t>
  </si>
  <si>
    <t>[Enter action]</t>
  </si>
  <si>
    <t>[Owner]</t>
  </si>
  <si>
    <t>RISKS &amp; ISSUES</t>
  </si>
  <si>
    <t>Risk / Issue</t>
  </si>
  <si>
    <t>Impact</t>
  </si>
  <si>
    <t>Mitigation</t>
  </si>
  <si>
    <t>Breadcrumb modules may not cover all RPD requirements</t>
  </si>
  <si>
    <t>Delay to Phase 3 if custom builds needed</t>
  </si>
  <si>
    <t>Early verification session. Identify gaps before V8 drafting.</t>
  </si>
  <si>
    <t>RPD management availability for review and sign-off</t>
  </si>
  <si>
    <t>Delay to Phase 2 if V8 review stalls</t>
  </si>
  <si>
    <t>Book review sessions in advance. Set 1-week turnaround expectation.</t>
  </si>
  <si>
    <t>Alan / Leslie</t>
  </si>
  <si>
    <t>Worker resistance to digital system change</t>
  </si>
  <si>
    <t>Low adoption of Breadcrumb</t>
  </si>
  <si>
    <t>Involve site supervisors early. Demonstrate time savings. Parallel run period.</t>
  </si>
  <si>
    <t>RPD / Alan</t>
  </si>
  <si>
    <t>[Enter risk]</t>
  </si>
  <si>
    <t>DECISIONS NEEDED FROM CLIENT</t>
  </si>
  <si>
    <t>Decision Required</t>
  </si>
  <si>
    <t>Decision Maker</t>
  </si>
  <si>
    <t>Needed By</t>
  </si>
  <si>
    <t>Approve elimination list — confirm RPD is comfortable dropping ISO 45001 future-proofing</t>
  </si>
  <si>
    <t>Leslie Robertson</t>
  </si>
  <si>
    <t>Provide Breadcrumb login credentials for verification testing</t>
  </si>
  <si>
    <t>RPD IT / Operations</t>
  </si>
  <si>
    <t>Confirm V8 review turnaround time (recommend 1 week per section)</t>
  </si>
  <si>
    <t>WEEKLY PROGRESS LOG — Append one row per week</t>
  </si>
  <si>
    <t>Week #</t>
  </si>
  <si>
    <t>Week Ending</t>
  </si>
  <si>
    <t>Key Achievement</t>
  </si>
  <si>
    <t>Blockers</t>
  </si>
  <si>
    <t>Overall RAG</t>
  </si>
  <si>
    <t>Hours</t>
  </si>
  <si>
    <t>28 Feb 2025</t>
  </si>
  <si>
    <t>Gap analysis complete. Document register complete. 7 demo procedures generated. Reference library pushed to Gatekeeper repo.</t>
  </si>
  <si>
    <t>Awaiting RPD management review session and Breadcrumb access.</t>
  </si>
  <si>
    <t>ON TRACK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</si>
</sst>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m/d/yyyy"/>
  </numFmts>
  <fonts count="10" x14ac:knownFonts="1">
    <font>
      <sz val="11"/>
      <color theme="1"/>
      <name val="Calibri"/>
      <family val="2"/>
      <charset val="1"/>
    </font>
    <font>
      <b/>
      <sz val="14"/>
      <color theme="1"/>
      <name val="Arial"/>
      <family val="2"/>
      <charset val="1"/>
    </font>
    <font>
      <sz val="9"/>
      <name val="Arial"/>
      <family val="2"/>
      <charset val="1"/>
    </font>
    <font>
      <b/>
      <sz val="10"/>
      <color rgb="FFFFFFFF"/>
      <name val="Arial"/>
      <charset val="1"/>
    </font>
    <font>
      <b/>
      <sz val="9"/>
      <name val="Arial"/>
      <charset val="1"/>
    </font>
    <font>
      <sz val="9"/>
      <name val="Arial"/>
      <charset val="1"/>
    </font>
    <font>
      <b/>
      <sz val="12"/>
      <color theme="0"/>
      <name val="Arial"/>
      <family val="2"/>
      <charset val="1"/>
    </font>
    <font>
      <b/>
      <sz val="11"/>
      <color theme="0"/>
      <name val="Arial"/>
      <family val="2"/>
      <charset val="1"/>
    </font>
    <font>
      <b/>
      <sz val="11"/>
      <name val="Arial"/>
      <family val="2"/>
      <charset val="1"/>
    </font>
    <font>
      <b/>
      <sz val="14"/>
      <name val="Arial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theme="0" tint="-0.499984740745262"/>
        <bgColor rgb="FF666699"/>
      </patternFill>
    </fill>
    <fill>
      <patternFill patternType="solid">
        <fgColor rgb="FFE2EFDA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E2EFDA"/>
      </patternFill>
    </fill>
    <fill>
      <patternFill patternType="solid">
        <fgColor rgb="FF0000FF"/>
        <bgColor rgb="FF0000FF"/>
      </patternFill>
    </fill>
    <fill>
      <patternFill patternType="solid">
        <fgColor rgb="FF00FF00"/>
        <bgColor rgb="FF33CCCC"/>
      </patternFill>
    </fill>
    <fill>
      <patternFill patternType="solid">
        <fgColor rgb="FFFCE4EC"/>
        <bgColor rgb="FFF2F2F2"/>
      </patternFill>
    </fill>
    <fill>
      <patternFill patternType="solid">
        <fgColor theme="9" tint="0.39988402966399123"/>
        <bgColor rgb="FFBFBFBF"/>
      </patternFill>
    </fill>
    <fill>
      <patternFill patternType="solid">
        <fgColor rgb="FFFF0000"/>
        <bgColor rgb="FF993300"/>
      </patternFill>
    </fill>
  </fills>
  <borders count="7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/>
      <diagonal/>
    </border>
    <border>
      <left style="hair">
        <color theme="0" tint="-0.34998626667073579"/>
      </left>
      <right style="hair">
        <color theme="0" tint="-0.34998626667073579"/>
      </right>
      <top style="hair">
        <color theme="0" tint="-0.34998626667073579"/>
      </top>
      <bottom style="hair">
        <color theme="0" tint="-0.34998626667073579"/>
      </bottom>
      <diagonal/>
    </border>
    <border>
      <left/>
      <right/>
      <top style="thin">
        <color rgb="FFAAAAAA"/>
      </top>
      <bottom style="thin">
        <color rgb="FFAAAAAA"/>
      </bottom>
      <diagonal/>
    </border>
    <border>
      <left/>
      <right/>
      <top style="hair">
        <color theme="0" tint="-0.249977111117893"/>
      </top>
      <bottom style="hair">
        <color theme="0" tint="-0.249977111117893"/>
      </bottom>
      <diagonal/>
    </border>
    <border>
      <left style="hair">
        <color rgb="FFAAAAAA"/>
      </left>
      <right style="hair">
        <color rgb="FFAAAAAA"/>
      </right>
      <top style="hair">
        <color rgb="FFAAAAAA"/>
      </top>
      <bottom style="hair">
        <color rgb="FFAAAAAA"/>
      </bottom>
      <diagonal/>
    </border>
    <border>
      <left/>
      <right/>
      <top style="hair">
        <color theme="0" tint="-0.34998626667073579"/>
      </top>
      <bottom style="hair">
        <color theme="0" tint="-0.34998626667073579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9" fillId="0" borderId="0" xfId="0" applyFont="1"/>
    <xf numFmtId="0" fontId="7" fillId="10" borderId="0" xfId="0" applyFont="1" applyFill="1"/>
    <xf numFmtId="0" fontId="8" fillId="9" borderId="0" xfId="0" applyFont="1" applyFill="1"/>
    <xf numFmtId="0" fontId="8" fillId="7" borderId="0" xfId="0" applyFont="1" applyFill="1"/>
    <xf numFmtId="0" fontId="5" fillId="0" borderId="6" xfId="0" applyFont="1" applyBorder="1" applyAlignment="1">
      <alignment vertical="top" wrapText="1"/>
    </xf>
    <xf numFmtId="0" fontId="7" fillId="6" borderId="0" xfId="0" applyFont="1" applyFill="1"/>
    <xf numFmtId="0" fontId="6" fillId="6" borderId="0" xfId="0" applyFont="1" applyFill="1"/>
    <xf numFmtId="0" fontId="2" fillId="0" borderId="4" xfId="0" applyFont="1" applyBorder="1"/>
    <xf numFmtId="0" fontId="5" fillId="0" borderId="4" xfId="0" applyFont="1" applyBorder="1"/>
    <xf numFmtId="165" fontId="5" fillId="0" borderId="4" xfId="0" applyNumberFormat="1" applyFont="1" applyBorder="1" applyAlignment="1">
      <alignment horizontal="left"/>
    </xf>
    <xf numFmtId="0" fontId="2" fillId="0" borderId="0" xfId="0" applyFont="1"/>
    <xf numFmtId="0" fontId="1" fillId="0" borderId="0" xfId="0" applyFont="1"/>
    <xf numFmtId="0" fontId="3" fillId="2" borderId="1" xfId="0" applyFont="1" applyFill="1" applyBorder="1" applyAlignment="1">
      <alignment horizontal="center" vertical="top" wrapText="1"/>
    </xf>
    <xf numFmtId="0" fontId="3" fillId="2" borderId="1" xfId="0" applyFont="1" applyFill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top" wrapText="1"/>
    </xf>
    <xf numFmtId="0" fontId="5" fillId="0" borderId="2" xfId="0" applyFont="1" applyBorder="1" applyAlignment="1">
      <alignment vertical="top" wrapText="1"/>
    </xf>
    <xf numFmtId="0" fontId="4" fillId="3" borderId="2" xfId="0" applyFont="1" applyFill="1" applyBorder="1" applyAlignment="1">
      <alignment vertical="top" wrapText="1"/>
    </xf>
    <xf numFmtId="0" fontId="5" fillId="0" borderId="2" xfId="0" applyFont="1" applyBorder="1" applyAlignment="1">
      <alignment horizontal="center" vertical="top" wrapText="1"/>
    </xf>
    <xf numFmtId="1" fontId="5" fillId="0" borderId="2" xfId="0" applyNumberFormat="1" applyFont="1" applyBorder="1" applyAlignment="1">
      <alignment horizontal="center" vertical="top" wrapText="1"/>
    </xf>
    <xf numFmtId="164" fontId="5" fillId="0" borderId="2" xfId="0" applyNumberFormat="1" applyFont="1" applyBorder="1" applyAlignment="1">
      <alignment horizontal="center" vertical="top" wrapText="1"/>
    </xf>
    <xf numFmtId="164" fontId="5" fillId="4" borderId="2" xfId="0" applyNumberFormat="1" applyFont="1" applyFill="1" applyBorder="1" applyAlignment="1">
      <alignment horizontal="center" vertical="top" wrapText="1"/>
    </xf>
    <xf numFmtId="0" fontId="4" fillId="5" borderId="2" xfId="0" applyFont="1" applyFill="1" applyBorder="1" applyAlignment="1">
      <alignment vertical="top" wrapText="1"/>
    </xf>
    <xf numFmtId="0" fontId="4" fillId="0" borderId="0" xfId="0" applyFont="1" applyAlignment="1">
      <alignment horizontal="right" vertical="top"/>
    </xf>
    <xf numFmtId="1" fontId="4" fillId="0" borderId="3" xfId="0" applyNumberFormat="1" applyFont="1" applyBorder="1" applyAlignment="1">
      <alignment horizontal="center" vertical="top" wrapText="1"/>
    </xf>
    <xf numFmtId="164" fontId="4" fillId="4" borderId="3" xfId="0" applyNumberFormat="1" applyFont="1" applyFill="1" applyBorder="1" applyAlignment="1">
      <alignment horizontal="center" vertical="top" wrapText="1"/>
    </xf>
    <xf numFmtId="0" fontId="4" fillId="0" borderId="4" xfId="0" applyFont="1" applyBorder="1"/>
    <xf numFmtId="0" fontId="4" fillId="0" borderId="5" xfId="0" applyFont="1" applyBorder="1" applyAlignment="1">
      <alignment horizontal="center" vertical="top" wrapText="1"/>
    </xf>
    <xf numFmtId="0" fontId="5" fillId="0" borderId="5" xfId="0" applyFont="1" applyBorder="1" applyAlignment="1">
      <alignment vertical="top" wrapText="1"/>
    </xf>
    <xf numFmtId="0" fontId="4" fillId="3" borderId="5" xfId="0" applyFont="1" applyFill="1" applyBorder="1" applyAlignment="1">
      <alignment horizontal="center" vertical="top" wrapText="1"/>
    </xf>
    <xf numFmtId="0" fontId="4" fillId="5" borderId="5" xfId="0" applyFont="1" applyFill="1" applyBorder="1" applyAlignment="1">
      <alignment horizontal="center" vertical="top" wrapText="1"/>
    </xf>
    <xf numFmtId="0" fontId="2" fillId="0" borderId="5" xfId="0" applyFont="1" applyBorder="1" applyAlignment="1">
      <alignment vertical="top" wrapText="1"/>
    </xf>
    <xf numFmtId="0" fontId="4" fillId="0" borderId="6" xfId="0" applyFont="1" applyBorder="1" applyAlignment="1">
      <alignment horizontal="center"/>
    </xf>
    <xf numFmtId="0" fontId="5" fillId="0" borderId="5" xfId="0" applyFont="1" applyBorder="1" applyAlignment="1">
      <alignment horizontal="center" vertical="top" wrapText="1"/>
    </xf>
    <xf numFmtId="0" fontId="4" fillId="8" borderId="5" xfId="0" applyFont="1" applyFill="1" applyBorder="1" applyAlignment="1">
      <alignment vertical="top" wrapText="1"/>
    </xf>
    <xf numFmtId="0" fontId="0" fillId="0" borderId="5" xfId="0" applyBorder="1"/>
    <xf numFmtId="0" fontId="4" fillId="4" borderId="5" xfId="0" applyFont="1" applyFill="1" applyBorder="1" applyAlignment="1">
      <alignment vertical="top" wrapText="1"/>
    </xf>
    <xf numFmtId="0" fontId="0" fillId="0" borderId="5" xfId="0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AAAAAA"/>
      <rgbColor rgb="FF993366"/>
      <rgbColor rgb="FFFFF2CC"/>
      <rgbColor rgb="FFF2F2F2"/>
      <rgbColor rgb="FF660066"/>
      <rgbColor rgb="FFFF8080"/>
      <rgbColor rgb="FF0066CC"/>
      <rgbColor rgb="FFFCE4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AC090"/>
      <rgbColor rgb="FF3366FF"/>
      <rgbColor rgb="FF33CCCC"/>
      <rgbColor rgb="FF99CC00"/>
      <rgbColor rgb="FFFFCC00"/>
      <rgbColor rgb="FFFF9900"/>
      <rgbColor rgb="FFFF6600"/>
      <rgbColor rgb="FF666699"/>
      <rgbColor rgb="FFA6A6A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M41"/>
  <sheetViews>
    <sheetView tabSelected="1" view="pageBreakPreview" zoomScale="89" zoomScaleNormal="100" zoomScalePageLayoutView="89" workbookViewId="0">
      <pane ySplit="4" topLeftCell="A18" activePane="bottomLeft" state="frozen"/>
      <selection pane="bottomLeft" activeCell="B13" sqref="B13"/>
    </sheetView>
  </sheetViews>
  <sheetFormatPr defaultColWidth="8.6640625" defaultRowHeight="14.4" x14ac:dyDescent="0.3"/>
  <cols>
    <col min="1" max="1" width="8" customWidth="1"/>
    <col min="2" max="2" width="40" customWidth="1"/>
    <col min="3" max="5" width="14" customWidth="1"/>
    <col min="6" max="6" width="12" customWidth="1"/>
    <col min="7" max="7" width="16" customWidth="1"/>
    <col min="8" max="8" width="28" customWidth="1"/>
    <col min="9" max="9" width="30" customWidth="1"/>
    <col min="10" max="10" width="12" customWidth="1"/>
    <col min="11" max="11" width="11" customWidth="1"/>
    <col min="12" max="12" width="12" customWidth="1"/>
    <col min="13" max="13" width="13" customWidth="1"/>
  </cols>
  <sheetData>
    <row r="1" spans="1:13" ht="17.25" customHeight="1" x14ac:dyDescent="0.3">
      <c r="A1" s="12" t="s">
        <v>0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</row>
    <row r="2" spans="1:13" ht="14.25" customHeight="1" x14ac:dyDescent="0.3">
      <c r="A2" s="11" t="s">
        <v>1</v>
      </c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</row>
    <row r="4" spans="1:13" ht="27.75" customHeight="1" x14ac:dyDescent="0.3">
      <c r="A4" s="13" t="s">
        <v>2</v>
      </c>
      <c r="B4" s="13" t="s">
        <v>3</v>
      </c>
      <c r="C4" s="13" t="s">
        <v>4</v>
      </c>
      <c r="D4" s="13" t="s">
        <v>5</v>
      </c>
      <c r="E4" s="13" t="s">
        <v>6</v>
      </c>
      <c r="F4" s="13" t="s">
        <v>7</v>
      </c>
      <c r="G4" s="13" t="s">
        <v>8</v>
      </c>
      <c r="H4" s="13" t="s">
        <v>9</v>
      </c>
      <c r="I4" s="13" t="s">
        <v>10</v>
      </c>
      <c r="J4" s="13" t="s">
        <v>11</v>
      </c>
      <c r="K4" s="14" t="s">
        <v>12</v>
      </c>
      <c r="L4" s="14" t="s">
        <v>13</v>
      </c>
      <c r="M4" s="14" t="s">
        <v>14</v>
      </c>
    </row>
    <row r="5" spans="1:13" ht="39.75" customHeight="1" x14ac:dyDescent="0.3">
      <c r="A5" s="15" t="s">
        <v>15</v>
      </c>
      <c r="B5" s="16" t="s">
        <v>16</v>
      </c>
      <c r="C5" s="16" t="s">
        <v>17</v>
      </c>
      <c r="D5" s="16" t="s">
        <v>18</v>
      </c>
      <c r="E5" s="17" t="s">
        <v>19</v>
      </c>
      <c r="F5" s="18" t="s">
        <v>20</v>
      </c>
      <c r="G5" s="16" t="s">
        <v>21</v>
      </c>
      <c r="H5" s="16" t="s">
        <v>22</v>
      </c>
      <c r="I5" s="16" t="s">
        <v>23</v>
      </c>
      <c r="J5" s="18" t="s">
        <v>24</v>
      </c>
      <c r="K5" s="19">
        <v>4</v>
      </c>
      <c r="L5" s="20">
        <v>4</v>
      </c>
      <c r="M5" s="21">
        <f>L5</f>
        <v>4</v>
      </c>
    </row>
    <row r="6" spans="1:13" ht="39.75" customHeight="1" x14ac:dyDescent="0.3">
      <c r="A6" s="15" t="s">
        <v>15</v>
      </c>
      <c r="B6" s="16" t="s">
        <v>25</v>
      </c>
      <c r="C6" s="16" t="s">
        <v>17</v>
      </c>
      <c r="D6" s="16" t="s">
        <v>18</v>
      </c>
      <c r="E6" s="17" t="s">
        <v>19</v>
      </c>
      <c r="F6" s="18" t="s">
        <v>20</v>
      </c>
      <c r="G6" s="16" t="s">
        <v>26</v>
      </c>
      <c r="H6" s="16" t="s">
        <v>27</v>
      </c>
      <c r="I6" s="16" t="s">
        <v>28</v>
      </c>
      <c r="J6" s="18" t="s">
        <v>24</v>
      </c>
      <c r="K6" s="19">
        <v>2</v>
      </c>
      <c r="L6" s="20">
        <v>2</v>
      </c>
      <c r="M6" s="21">
        <f t="shared" ref="M6:M39" si="0">M5+L6</f>
        <v>6</v>
      </c>
    </row>
    <row r="7" spans="1:13" ht="39.75" customHeight="1" x14ac:dyDescent="0.3">
      <c r="A7" s="15" t="s">
        <v>15</v>
      </c>
      <c r="B7" s="16" t="s">
        <v>29</v>
      </c>
      <c r="C7" s="16" t="s">
        <v>17</v>
      </c>
      <c r="D7" s="16" t="s">
        <v>30</v>
      </c>
      <c r="E7" s="17" t="s">
        <v>19</v>
      </c>
      <c r="F7" s="18" t="s">
        <v>20</v>
      </c>
      <c r="G7" s="16" t="s">
        <v>26</v>
      </c>
      <c r="H7" s="16" t="s">
        <v>31</v>
      </c>
      <c r="I7" s="16" t="s">
        <v>32</v>
      </c>
      <c r="J7" s="18" t="s">
        <v>33</v>
      </c>
      <c r="K7" s="19">
        <v>2</v>
      </c>
      <c r="L7" s="20">
        <v>2</v>
      </c>
      <c r="M7" s="21">
        <f t="shared" si="0"/>
        <v>8</v>
      </c>
    </row>
    <row r="8" spans="1:13" ht="39.75" customHeight="1" x14ac:dyDescent="0.3">
      <c r="A8" s="15" t="s">
        <v>15</v>
      </c>
      <c r="B8" s="16" t="s">
        <v>34</v>
      </c>
      <c r="C8" s="16" t="s">
        <v>17</v>
      </c>
      <c r="D8" s="16" t="s">
        <v>30</v>
      </c>
      <c r="E8" s="17" t="s">
        <v>19</v>
      </c>
      <c r="F8" s="18" t="s">
        <v>20</v>
      </c>
      <c r="G8" s="16" t="s">
        <v>26</v>
      </c>
      <c r="H8" s="16" t="s">
        <v>35</v>
      </c>
      <c r="I8" s="16" t="s">
        <v>36</v>
      </c>
      <c r="J8" s="18" t="s">
        <v>33</v>
      </c>
      <c r="K8" s="19">
        <v>4</v>
      </c>
      <c r="L8" s="20">
        <v>4</v>
      </c>
      <c r="M8" s="21">
        <f t="shared" si="0"/>
        <v>12</v>
      </c>
    </row>
    <row r="9" spans="1:13" ht="39.75" customHeight="1" x14ac:dyDescent="0.3">
      <c r="A9" s="15" t="s">
        <v>15</v>
      </c>
      <c r="B9" s="16" t="s">
        <v>37</v>
      </c>
      <c r="C9" s="16" t="s">
        <v>17</v>
      </c>
      <c r="D9" s="16" t="s">
        <v>30</v>
      </c>
      <c r="E9" s="17" t="s">
        <v>19</v>
      </c>
      <c r="F9" s="18" t="s">
        <v>20</v>
      </c>
      <c r="G9" s="16" t="s">
        <v>26</v>
      </c>
      <c r="H9" s="16" t="s">
        <v>38</v>
      </c>
      <c r="I9" s="16" t="s">
        <v>39</v>
      </c>
      <c r="J9" s="18" t="s">
        <v>33</v>
      </c>
      <c r="K9" s="19">
        <v>4</v>
      </c>
      <c r="L9" s="20">
        <v>4</v>
      </c>
      <c r="M9" s="21">
        <f t="shared" si="0"/>
        <v>16</v>
      </c>
    </row>
    <row r="10" spans="1:13" ht="39.75" customHeight="1" x14ac:dyDescent="0.3">
      <c r="A10" s="15" t="s">
        <v>15</v>
      </c>
      <c r="B10" s="16" t="s">
        <v>40</v>
      </c>
      <c r="C10" s="16" t="s">
        <v>17</v>
      </c>
      <c r="D10" s="16" t="s">
        <v>30</v>
      </c>
      <c r="E10" s="17" t="s">
        <v>19</v>
      </c>
      <c r="F10" s="18" t="s">
        <v>20</v>
      </c>
      <c r="G10" s="16" t="s">
        <v>41</v>
      </c>
      <c r="H10" s="16" t="s">
        <v>42</v>
      </c>
      <c r="I10" s="16" t="s">
        <v>43</v>
      </c>
      <c r="J10" s="18" t="s">
        <v>33</v>
      </c>
      <c r="K10" s="19">
        <v>2</v>
      </c>
      <c r="L10" s="20">
        <v>2</v>
      </c>
      <c r="M10" s="21">
        <f t="shared" si="0"/>
        <v>18</v>
      </c>
    </row>
    <row r="11" spans="1:13" ht="39.75" customHeight="1" x14ac:dyDescent="0.3">
      <c r="A11" s="15" t="s">
        <v>15</v>
      </c>
      <c r="B11" s="16" t="s">
        <v>44</v>
      </c>
      <c r="C11" s="16" t="s">
        <v>45</v>
      </c>
      <c r="D11" s="16" t="s">
        <v>46</v>
      </c>
      <c r="E11" s="22" t="s">
        <v>47</v>
      </c>
      <c r="F11" s="18" t="s">
        <v>48</v>
      </c>
      <c r="G11" s="16" t="s">
        <v>49</v>
      </c>
      <c r="H11" s="16" t="s">
        <v>50</v>
      </c>
      <c r="I11" s="16" t="s">
        <v>51</v>
      </c>
      <c r="J11" s="18" t="s">
        <v>21</v>
      </c>
      <c r="K11" s="19">
        <v>4</v>
      </c>
      <c r="L11" s="20"/>
      <c r="M11" s="21">
        <f t="shared" si="0"/>
        <v>18</v>
      </c>
    </row>
    <row r="12" spans="1:13" ht="39.75" customHeight="1" x14ac:dyDescent="0.3">
      <c r="A12" s="15" t="s">
        <v>15</v>
      </c>
      <c r="B12" s="16" t="s">
        <v>52</v>
      </c>
      <c r="C12" s="16" t="s">
        <v>17</v>
      </c>
      <c r="D12" s="16" t="s">
        <v>53</v>
      </c>
      <c r="E12" s="22" t="s">
        <v>47</v>
      </c>
      <c r="F12" s="18" t="s">
        <v>48</v>
      </c>
      <c r="G12" s="16" t="s">
        <v>54</v>
      </c>
      <c r="H12" s="16" t="s">
        <v>55</v>
      </c>
      <c r="I12" s="16" t="s">
        <v>56</v>
      </c>
      <c r="J12" s="18" t="s">
        <v>21</v>
      </c>
      <c r="K12" s="19">
        <v>2</v>
      </c>
      <c r="L12" s="20"/>
      <c r="M12" s="21">
        <f t="shared" si="0"/>
        <v>18</v>
      </c>
    </row>
    <row r="13" spans="1:13" ht="39.75" customHeight="1" x14ac:dyDescent="0.3">
      <c r="A13" s="15" t="s">
        <v>57</v>
      </c>
      <c r="B13" s="16" t="s">
        <v>58</v>
      </c>
      <c r="C13" s="16" t="s">
        <v>17</v>
      </c>
      <c r="D13" s="16" t="s">
        <v>59</v>
      </c>
      <c r="E13" s="22" t="s">
        <v>47</v>
      </c>
      <c r="F13" s="18" t="s">
        <v>48</v>
      </c>
      <c r="G13" s="16" t="s">
        <v>60</v>
      </c>
      <c r="H13" s="16" t="s">
        <v>61</v>
      </c>
      <c r="I13" s="16" t="s">
        <v>62</v>
      </c>
      <c r="J13" s="18" t="s">
        <v>21</v>
      </c>
      <c r="K13" s="19">
        <v>8</v>
      </c>
      <c r="L13" s="20"/>
      <c r="M13" s="21">
        <f t="shared" si="0"/>
        <v>18</v>
      </c>
    </row>
    <row r="14" spans="1:13" ht="39.75" customHeight="1" x14ac:dyDescent="0.3">
      <c r="A14" s="15" t="s">
        <v>57</v>
      </c>
      <c r="B14" s="16" t="s">
        <v>63</v>
      </c>
      <c r="C14" s="16" t="s">
        <v>17</v>
      </c>
      <c r="D14" s="16" t="s">
        <v>64</v>
      </c>
      <c r="E14" s="22" t="s">
        <v>47</v>
      </c>
      <c r="F14" s="18" t="s">
        <v>48</v>
      </c>
      <c r="G14" s="16" t="s">
        <v>65</v>
      </c>
      <c r="H14" s="16" t="s">
        <v>61</v>
      </c>
      <c r="I14" s="16" t="s">
        <v>66</v>
      </c>
      <c r="J14" s="18" t="s">
        <v>21</v>
      </c>
      <c r="K14" s="19">
        <v>6</v>
      </c>
      <c r="L14" s="20"/>
      <c r="M14" s="21">
        <f t="shared" si="0"/>
        <v>18</v>
      </c>
    </row>
    <row r="15" spans="1:13" ht="39.75" customHeight="1" x14ac:dyDescent="0.3">
      <c r="A15" s="15" t="s">
        <v>57</v>
      </c>
      <c r="B15" s="16" t="s">
        <v>67</v>
      </c>
      <c r="C15" s="16" t="s">
        <v>17</v>
      </c>
      <c r="D15" s="16" t="s">
        <v>68</v>
      </c>
      <c r="E15" s="22" t="s">
        <v>47</v>
      </c>
      <c r="F15" s="18" t="s">
        <v>48</v>
      </c>
      <c r="G15" s="16" t="s">
        <v>69</v>
      </c>
      <c r="H15" s="16" t="s">
        <v>61</v>
      </c>
      <c r="I15" s="16" t="s">
        <v>70</v>
      </c>
      <c r="J15" s="18" t="s">
        <v>21</v>
      </c>
      <c r="K15" s="19">
        <v>4</v>
      </c>
      <c r="L15" s="20"/>
      <c r="M15" s="21">
        <f t="shared" si="0"/>
        <v>18</v>
      </c>
    </row>
    <row r="16" spans="1:13" ht="39.75" customHeight="1" x14ac:dyDescent="0.3">
      <c r="A16" s="15" t="s">
        <v>57</v>
      </c>
      <c r="B16" s="16" t="s">
        <v>71</v>
      </c>
      <c r="C16" s="16" t="s">
        <v>17</v>
      </c>
      <c r="D16" s="16" t="s">
        <v>72</v>
      </c>
      <c r="E16" s="22" t="s">
        <v>47</v>
      </c>
      <c r="F16" s="18" t="s">
        <v>48</v>
      </c>
      <c r="G16" s="16" t="s">
        <v>73</v>
      </c>
      <c r="H16" s="16" t="s">
        <v>61</v>
      </c>
      <c r="I16" s="16" t="s">
        <v>74</v>
      </c>
      <c r="J16" s="18" t="s">
        <v>21</v>
      </c>
      <c r="K16" s="19">
        <v>6</v>
      </c>
      <c r="L16" s="20"/>
      <c r="M16" s="21">
        <f t="shared" si="0"/>
        <v>18</v>
      </c>
    </row>
    <row r="17" spans="1:13" ht="39.75" customHeight="1" x14ac:dyDescent="0.3">
      <c r="A17" s="15" t="s">
        <v>57</v>
      </c>
      <c r="B17" s="16" t="s">
        <v>75</v>
      </c>
      <c r="C17" s="16" t="s">
        <v>17</v>
      </c>
      <c r="D17" s="16" t="s">
        <v>76</v>
      </c>
      <c r="E17" s="22" t="s">
        <v>47</v>
      </c>
      <c r="F17" s="18" t="s">
        <v>48</v>
      </c>
      <c r="G17" s="16" t="s">
        <v>77</v>
      </c>
      <c r="H17" s="16" t="s">
        <v>61</v>
      </c>
      <c r="I17" s="16" t="s">
        <v>78</v>
      </c>
      <c r="J17" s="18" t="s">
        <v>21</v>
      </c>
      <c r="K17" s="19">
        <v>4</v>
      </c>
      <c r="L17" s="20"/>
      <c r="M17" s="21">
        <f t="shared" si="0"/>
        <v>18</v>
      </c>
    </row>
    <row r="18" spans="1:13" ht="39.75" customHeight="1" x14ac:dyDescent="0.3">
      <c r="A18" s="15" t="s">
        <v>57</v>
      </c>
      <c r="B18" s="16" t="s">
        <v>79</v>
      </c>
      <c r="C18" s="16" t="s">
        <v>17</v>
      </c>
      <c r="D18" s="16" t="s">
        <v>80</v>
      </c>
      <c r="E18" s="22" t="s">
        <v>47</v>
      </c>
      <c r="F18" s="18" t="s">
        <v>48</v>
      </c>
      <c r="G18" s="16" t="s">
        <v>81</v>
      </c>
      <c r="H18" s="16" t="s">
        <v>82</v>
      </c>
      <c r="I18" s="16" t="s">
        <v>83</v>
      </c>
      <c r="J18" s="18" t="s">
        <v>21</v>
      </c>
      <c r="K18" s="19">
        <v>12</v>
      </c>
      <c r="L18" s="20"/>
      <c r="M18" s="21">
        <f t="shared" si="0"/>
        <v>18</v>
      </c>
    </row>
    <row r="19" spans="1:13" ht="39.75" customHeight="1" x14ac:dyDescent="0.3">
      <c r="A19" s="15" t="s">
        <v>57</v>
      </c>
      <c r="B19" s="16" t="s">
        <v>84</v>
      </c>
      <c r="C19" s="16" t="s">
        <v>85</v>
      </c>
      <c r="D19" s="16" t="s">
        <v>86</v>
      </c>
      <c r="E19" s="22" t="s">
        <v>47</v>
      </c>
      <c r="F19" s="18" t="s">
        <v>48</v>
      </c>
      <c r="G19" s="16" t="s">
        <v>87</v>
      </c>
      <c r="H19" s="16" t="s">
        <v>88</v>
      </c>
      <c r="I19" s="16" t="s">
        <v>89</v>
      </c>
      <c r="J19" s="18" t="s">
        <v>21</v>
      </c>
      <c r="K19" s="19"/>
      <c r="L19" s="20"/>
      <c r="M19" s="21">
        <f t="shared" si="0"/>
        <v>18</v>
      </c>
    </row>
    <row r="20" spans="1:13" ht="39.75" customHeight="1" x14ac:dyDescent="0.3">
      <c r="A20" s="15" t="s">
        <v>90</v>
      </c>
      <c r="B20" s="16" t="s">
        <v>91</v>
      </c>
      <c r="C20" s="16" t="s">
        <v>17</v>
      </c>
      <c r="D20" s="16" t="s">
        <v>92</v>
      </c>
      <c r="E20" s="22" t="s">
        <v>47</v>
      </c>
      <c r="F20" s="18" t="s">
        <v>48</v>
      </c>
      <c r="G20" s="16" t="s">
        <v>93</v>
      </c>
      <c r="H20" s="16" t="s">
        <v>94</v>
      </c>
      <c r="I20" s="16" t="s">
        <v>95</v>
      </c>
      <c r="J20" s="18" t="s">
        <v>21</v>
      </c>
      <c r="K20" s="19">
        <v>4</v>
      </c>
      <c r="L20" s="20"/>
      <c r="M20" s="21">
        <f t="shared" si="0"/>
        <v>18</v>
      </c>
    </row>
    <row r="21" spans="1:13" ht="39.75" customHeight="1" x14ac:dyDescent="0.3">
      <c r="A21" s="15" t="s">
        <v>90</v>
      </c>
      <c r="B21" s="16" t="s">
        <v>96</v>
      </c>
      <c r="C21" s="16" t="s">
        <v>17</v>
      </c>
      <c r="D21" s="16" t="s">
        <v>97</v>
      </c>
      <c r="E21" s="22" t="s">
        <v>47</v>
      </c>
      <c r="F21" s="18" t="s">
        <v>48</v>
      </c>
      <c r="G21" s="16" t="s">
        <v>98</v>
      </c>
      <c r="H21" s="16" t="s">
        <v>99</v>
      </c>
      <c r="I21" s="16" t="s">
        <v>100</v>
      </c>
      <c r="J21" s="18" t="s">
        <v>21</v>
      </c>
      <c r="K21" s="19">
        <v>4</v>
      </c>
      <c r="L21" s="20"/>
      <c r="M21" s="21">
        <f t="shared" si="0"/>
        <v>18</v>
      </c>
    </row>
    <row r="22" spans="1:13" ht="39.75" customHeight="1" x14ac:dyDescent="0.3">
      <c r="A22" s="15" t="s">
        <v>90</v>
      </c>
      <c r="B22" s="16" t="s">
        <v>101</v>
      </c>
      <c r="C22" s="16" t="s">
        <v>17</v>
      </c>
      <c r="D22" s="16" t="s">
        <v>102</v>
      </c>
      <c r="E22" s="22" t="s">
        <v>47</v>
      </c>
      <c r="F22" s="18" t="s">
        <v>48</v>
      </c>
      <c r="G22" s="16" t="s">
        <v>103</v>
      </c>
      <c r="H22" s="16" t="s">
        <v>104</v>
      </c>
      <c r="I22" s="16" t="s">
        <v>105</v>
      </c>
      <c r="J22" s="18" t="s">
        <v>21</v>
      </c>
      <c r="K22" s="19">
        <v>4</v>
      </c>
      <c r="L22" s="20"/>
      <c r="M22" s="21">
        <f t="shared" si="0"/>
        <v>18</v>
      </c>
    </row>
    <row r="23" spans="1:13" ht="39.75" customHeight="1" x14ac:dyDescent="0.3">
      <c r="A23" s="15" t="s">
        <v>90</v>
      </c>
      <c r="B23" s="16" t="s">
        <v>106</v>
      </c>
      <c r="C23" s="16" t="s">
        <v>17</v>
      </c>
      <c r="D23" s="16" t="s">
        <v>107</v>
      </c>
      <c r="E23" s="22" t="s">
        <v>47</v>
      </c>
      <c r="F23" s="18" t="s">
        <v>48</v>
      </c>
      <c r="G23" s="16" t="s">
        <v>108</v>
      </c>
      <c r="H23" s="16" t="s">
        <v>109</v>
      </c>
      <c r="I23" s="16" t="s">
        <v>110</v>
      </c>
      <c r="J23" s="18" t="s">
        <v>21</v>
      </c>
      <c r="K23" s="19">
        <v>8</v>
      </c>
      <c r="L23" s="20"/>
      <c r="M23" s="21">
        <f t="shared" si="0"/>
        <v>18</v>
      </c>
    </row>
    <row r="24" spans="1:13" ht="39.75" customHeight="1" x14ac:dyDescent="0.3">
      <c r="A24" s="15" t="s">
        <v>90</v>
      </c>
      <c r="B24" s="16" t="s">
        <v>111</v>
      </c>
      <c r="C24" s="16" t="s">
        <v>17</v>
      </c>
      <c r="D24" s="16" t="s">
        <v>112</v>
      </c>
      <c r="E24" s="22" t="s">
        <v>47</v>
      </c>
      <c r="F24" s="18" t="s">
        <v>48</v>
      </c>
      <c r="G24" s="16" t="s">
        <v>113</v>
      </c>
      <c r="H24" s="16" t="s">
        <v>114</v>
      </c>
      <c r="I24" s="16" t="s">
        <v>115</v>
      </c>
      <c r="J24" s="18" t="s">
        <v>21</v>
      </c>
      <c r="K24" s="19">
        <v>12</v>
      </c>
      <c r="L24" s="20"/>
      <c r="M24" s="21">
        <f t="shared" si="0"/>
        <v>18</v>
      </c>
    </row>
    <row r="25" spans="1:13" ht="39.75" customHeight="1" x14ac:dyDescent="0.3">
      <c r="A25" s="15" t="s">
        <v>90</v>
      </c>
      <c r="B25" s="16" t="s">
        <v>116</v>
      </c>
      <c r="C25" s="16" t="s">
        <v>117</v>
      </c>
      <c r="D25" s="16" t="s">
        <v>118</v>
      </c>
      <c r="E25" s="22" t="s">
        <v>47</v>
      </c>
      <c r="F25" s="18" t="s">
        <v>48</v>
      </c>
      <c r="G25" s="16" t="s">
        <v>119</v>
      </c>
      <c r="H25" s="16" t="s">
        <v>120</v>
      </c>
      <c r="I25" s="16" t="s">
        <v>121</v>
      </c>
      <c r="J25" s="18" t="s">
        <v>21</v>
      </c>
      <c r="K25" s="19"/>
      <c r="L25" s="20"/>
      <c r="M25" s="21">
        <f t="shared" si="0"/>
        <v>18</v>
      </c>
    </row>
    <row r="26" spans="1:13" ht="39.75" customHeight="1" x14ac:dyDescent="0.3">
      <c r="A26" s="15" t="s">
        <v>90</v>
      </c>
      <c r="B26" s="16" t="s">
        <v>122</v>
      </c>
      <c r="C26" s="16" t="s">
        <v>17</v>
      </c>
      <c r="D26" s="16" t="s">
        <v>123</v>
      </c>
      <c r="E26" s="22" t="s">
        <v>47</v>
      </c>
      <c r="F26" s="18" t="s">
        <v>48</v>
      </c>
      <c r="G26" s="16" t="s">
        <v>124</v>
      </c>
      <c r="H26" s="16" t="s">
        <v>125</v>
      </c>
      <c r="I26" s="16" t="s">
        <v>126</v>
      </c>
      <c r="J26" s="18" t="s">
        <v>21</v>
      </c>
      <c r="K26" s="19">
        <v>8</v>
      </c>
      <c r="L26" s="20"/>
      <c r="M26" s="21">
        <f t="shared" si="0"/>
        <v>18</v>
      </c>
    </row>
    <row r="27" spans="1:13" ht="39.75" customHeight="1" x14ac:dyDescent="0.3">
      <c r="A27" s="15" t="s">
        <v>127</v>
      </c>
      <c r="B27" s="16" t="s">
        <v>128</v>
      </c>
      <c r="C27" s="16" t="s">
        <v>45</v>
      </c>
      <c r="D27" s="16" t="s">
        <v>129</v>
      </c>
      <c r="E27" s="22" t="s">
        <v>47</v>
      </c>
      <c r="F27" s="18" t="s">
        <v>48</v>
      </c>
      <c r="G27" s="16" t="s">
        <v>130</v>
      </c>
      <c r="H27" s="16" t="s">
        <v>131</v>
      </c>
      <c r="I27" s="16" t="s">
        <v>132</v>
      </c>
      <c r="J27" s="18" t="s">
        <v>21</v>
      </c>
      <c r="K27" s="19">
        <v>8</v>
      </c>
      <c r="L27" s="20"/>
      <c r="M27" s="21">
        <f t="shared" si="0"/>
        <v>18</v>
      </c>
    </row>
    <row r="28" spans="1:13" ht="39.75" customHeight="1" x14ac:dyDescent="0.3">
      <c r="A28" s="15" t="s">
        <v>127</v>
      </c>
      <c r="B28" s="16" t="s">
        <v>133</v>
      </c>
      <c r="C28" s="16" t="s">
        <v>45</v>
      </c>
      <c r="D28" s="16" t="s">
        <v>134</v>
      </c>
      <c r="E28" s="22" t="s">
        <v>47</v>
      </c>
      <c r="F28" s="18" t="s">
        <v>48</v>
      </c>
      <c r="G28" s="16" t="s">
        <v>135</v>
      </c>
      <c r="H28" s="16" t="s">
        <v>131</v>
      </c>
      <c r="I28" s="16" t="s">
        <v>136</v>
      </c>
      <c r="J28" s="18" t="s">
        <v>21</v>
      </c>
      <c r="K28" s="19">
        <v>8</v>
      </c>
      <c r="L28" s="20"/>
      <c r="M28" s="21">
        <f t="shared" si="0"/>
        <v>18</v>
      </c>
    </row>
    <row r="29" spans="1:13" ht="39.75" customHeight="1" x14ac:dyDescent="0.3">
      <c r="A29" s="15" t="s">
        <v>127</v>
      </c>
      <c r="B29" s="16" t="s">
        <v>137</v>
      </c>
      <c r="C29" s="16" t="s">
        <v>45</v>
      </c>
      <c r="D29" s="16" t="s">
        <v>138</v>
      </c>
      <c r="E29" s="22" t="s">
        <v>47</v>
      </c>
      <c r="F29" s="18" t="s">
        <v>48</v>
      </c>
      <c r="G29" s="16" t="s">
        <v>139</v>
      </c>
      <c r="H29" s="16" t="s">
        <v>131</v>
      </c>
      <c r="I29" s="16" t="s">
        <v>140</v>
      </c>
      <c r="J29" s="18" t="s">
        <v>21</v>
      </c>
      <c r="K29" s="19">
        <v>8</v>
      </c>
      <c r="L29" s="20"/>
      <c r="M29" s="21">
        <f t="shared" si="0"/>
        <v>18</v>
      </c>
    </row>
    <row r="30" spans="1:13" ht="39.75" customHeight="1" x14ac:dyDescent="0.3">
      <c r="A30" s="15" t="s">
        <v>127</v>
      </c>
      <c r="B30" s="16" t="s">
        <v>141</v>
      </c>
      <c r="C30" s="16" t="s">
        <v>45</v>
      </c>
      <c r="D30" s="16" t="s">
        <v>142</v>
      </c>
      <c r="E30" s="22" t="s">
        <v>47</v>
      </c>
      <c r="F30" s="18" t="s">
        <v>48</v>
      </c>
      <c r="G30" s="16" t="s">
        <v>143</v>
      </c>
      <c r="H30" s="16" t="s">
        <v>131</v>
      </c>
      <c r="I30" s="16" t="s">
        <v>144</v>
      </c>
      <c r="J30" s="18" t="s">
        <v>21</v>
      </c>
      <c r="K30" s="19">
        <v>8</v>
      </c>
      <c r="L30" s="20"/>
      <c r="M30" s="21">
        <f t="shared" si="0"/>
        <v>18</v>
      </c>
    </row>
    <row r="31" spans="1:13" ht="39.75" customHeight="1" x14ac:dyDescent="0.3">
      <c r="A31" s="15" t="s">
        <v>127</v>
      </c>
      <c r="B31" s="16" t="s">
        <v>145</v>
      </c>
      <c r="C31" s="16" t="s">
        <v>17</v>
      </c>
      <c r="D31" s="16" t="s">
        <v>146</v>
      </c>
      <c r="E31" s="22" t="s">
        <v>47</v>
      </c>
      <c r="F31" s="18" t="s">
        <v>48</v>
      </c>
      <c r="G31" s="16" t="s">
        <v>147</v>
      </c>
      <c r="H31" s="16" t="s">
        <v>148</v>
      </c>
      <c r="I31" s="16" t="s">
        <v>149</v>
      </c>
      <c r="J31" s="18" t="s">
        <v>21</v>
      </c>
      <c r="K31" s="19">
        <v>4</v>
      </c>
      <c r="L31" s="20"/>
      <c r="M31" s="21">
        <f t="shared" si="0"/>
        <v>18</v>
      </c>
    </row>
    <row r="32" spans="1:13" ht="39.75" customHeight="1" x14ac:dyDescent="0.3">
      <c r="A32" s="15" t="s">
        <v>127</v>
      </c>
      <c r="B32" s="16" t="s">
        <v>150</v>
      </c>
      <c r="C32" s="16" t="s">
        <v>151</v>
      </c>
      <c r="D32" s="16" t="s">
        <v>152</v>
      </c>
      <c r="E32" s="22" t="s">
        <v>47</v>
      </c>
      <c r="F32" s="18" t="s">
        <v>48</v>
      </c>
      <c r="G32" s="16" t="s">
        <v>147</v>
      </c>
      <c r="H32" s="16" t="s">
        <v>153</v>
      </c>
      <c r="I32" s="16" t="s">
        <v>154</v>
      </c>
      <c r="J32" s="18" t="s">
        <v>21</v>
      </c>
      <c r="K32" s="19">
        <v>4</v>
      </c>
      <c r="L32" s="20"/>
      <c r="M32" s="21">
        <f t="shared" si="0"/>
        <v>18</v>
      </c>
    </row>
    <row r="33" spans="1:13" ht="39.75" customHeight="1" x14ac:dyDescent="0.3">
      <c r="A33" s="15" t="s">
        <v>155</v>
      </c>
      <c r="B33" s="16" t="s">
        <v>156</v>
      </c>
      <c r="C33" s="16" t="s">
        <v>17</v>
      </c>
      <c r="D33" s="16" t="s">
        <v>157</v>
      </c>
      <c r="E33" s="22" t="s">
        <v>47</v>
      </c>
      <c r="F33" s="18" t="s">
        <v>48</v>
      </c>
      <c r="G33" s="16" t="s">
        <v>158</v>
      </c>
      <c r="H33" s="16" t="s">
        <v>159</v>
      </c>
      <c r="I33" s="16" t="s">
        <v>160</v>
      </c>
      <c r="J33" s="18" t="s">
        <v>21</v>
      </c>
      <c r="K33" s="19">
        <v>6</v>
      </c>
      <c r="L33" s="20"/>
      <c r="M33" s="21">
        <f t="shared" si="0"/>
        <v>18</v>
      </c>
    </row>
    <row r="34" spans="1:13" ht="39.75" customHeight="1" x14ac:dyDescent="0.3">
      <c r="A34" s="15" t="s">
        <v>155</v>
      </c>
      <c r="B34" s="16" t="s">
        <v>161</v>
      </c>
      <c r="C34" s="16" t="s">
        <v>45</v>
      </c>
      <c r="D34" s="16" t="s">
        <v>162</v>
      </c>
      <c r="E34" s="22" t="s">
        <v>47</v>
      </c>
      <c r="F34" s="18" t="s">
        <v>48</v>
      </c>
      <c r="G34" s="16" t="s">
        <v>163</v>
      </c>
      <c r="H34" s="16" t="s">
        <v>164</v>
      </c>
      <c r="I34" s="16" t="s">
        <v>165</v>
      </c>
      <c r="J34" s="18" t="s">
        <v>21</v>
      </c>
      <c r="K34" s="19">
        <v>4</v>
      </c>
      <c r="L34" s="20"/>
      <c r="M34" s="21">
        <f t="shared" si="0"/>
        <v>18</v>
      </c>
    </row>
    <row r="35" spans="1:13" ht="39.75" customHeight="1" x14ac:dyDescent="0.3">
      <c r="A35" s="15" t="s">
        <v>155</v>
      </c>
      <c r="B35" s="16" t="s">
        <v>166</v>
      </c>
      <c r="C35" s="16" t="s">
        <v>17</v>
      </c>
      <c r="D35" s="16" t="s">
        <v>167</v>
      </c>
      <c r="E35" s="22" t="s">
        <v>47</v>
      </c>
      <c r="F35" s="18" t="s">
        <v>48</v>
      </c>
      <c r="G35" s="16" t="s">
        <v>168</v>
      </c>
      <c r="H35" s="16" t="s">
        <v>169</v>
      </c>
      <c r="I35" s="16" t="s">
        <v>170</v>
      </c>
      <c r="J35" s="18" t="s">
        <v>21</v>
      </c>
      <c r="K35" s="19">
        <v>4</v>
      </c>
      <c r="L35" s="20"/>
      <c r="M35" s="21">
        <f t="shared" si="0"/>
        <v>18</v>
      </c>
    </row>
    <row r="36" spans="1:13" ht="39.75" customHeight="1" x14ac:dyDescent="0.3">
      <c r="A36" s="15" t="s">
        <v>171</v>
      </c>
      <c r="B36" s="16" t="s">
        <v>172</v>
      </c>
      <c r="C36" s="16" t="s">
        <v>45</v>
      </c>
      <c r="D36" s="16" t="s">
        <v>173</v>
      </c>
      <c r="E36" s="22" t="s">
        <v>47</v>
      </c>
      <c r="F36" s="18" t="s">
        <v>48</v>
      </c>
      <c r="G36" s="16" t="s">
        <v>174</v>
      </c>
      <c r="H36" s="16" t="s">
        <v>175</v>
      </c>
      <c r="I36" s="16" t="s">
        <v>176</v>
      </c>
      <c r="J36" s="18" t="s">
        <v>21</v>
      </c>
      <c r="K36" s="19">
        <v>2</v>
      </c>
      <c r="L36" s="20"/>
      <c r="M36" s="21">
        <f t="shared" si="0"/>
        <v>18</v>
      </c>
    </row>
    <row r="37" spans="1:13" ht="39.75" customHeight="1" x14ac:dyDescent="0.3">
      <c r="A37" s="15" t="s">
        <v>171</v>
      </c>
      <c r="B37" s="16" t="s">
        <v>177</v>
      </c>
      <c r="C37" s="16" t="s">
        <v>17</v>
      </c>
      <c r="D37" s="16" t="s">
        <v>178</v>
      </c>
      <c r="E37" s="22" t="s">
        <v>47</v>
      </c>
      <c r="F37" s="18" t="s">
        <v>48</v>
      </c>
      <c r="G37" s="16" t="s">
        <v>179</v>
      </c>
      <c r="H37" s="16" t="s">
        <v>180</v>
      </c>
      <c r="I37" s="16" t="s">
        <v>181</v>
      </c>
      <c r="J37" s="18" t="s">
        <v>21</v>
      </c>
      <c r="K37" s="19">
        <v>8</v>
      </c>
      <c r="L37" s="20"/>
      <c r="M37" s="21">
        <f t="shared" si="0"/>
        <v>18</v>
      </c>
    </row>
    <row r="38" spans="1:13" ht="39.75" customHeight="1" x14ac:dyDescent="0.3">
      <c r="A38" s="15" t="s">
        <v>171</v>
      </c>
      <c r="B38" s="16" t="s">
        <v>182</v>
      </c>
      <c r="C38" s="16" t="s">
        <v>183</v>
      </c>
      <c r="D38" s="16" t="s">
        <v>184</v>
      </c>
      <c r="E38" s="22" t="s">
        <v>47</v>
      </c>
      <c r="F38" s="18" t="s">
        <v>48</v>
      </c>
      <c r="G38" s="16" t="s">
        <v>185</v>
      </c>
      <c r="H38" s="16" t="s">
        <v>186</v>
      </c>
      <c r="I38" s="16" t="s">
        <v>187</v>
      </c>
      <c r="J38" s="18" t="s">
        <v>21</v>
      </c>
      <c r="K38" s="19">
        <v>2</v>
      </c>
      <c r="L38" s="20"/>
      <c r="M38" s="21">
        <f t="shared" si="0"/>
        <v>18</v>
      </c>
    </row>
    <row r="39" spans="1:13" ht="39.75" customHeight="1" x14ac:dyDescent="0.3">
      <c r="A39" s="15" t="s">
        <v>171</v>
      </c>
      <c r="B39" s="16" t="s">
        <v>188</v>
      </c>
      <c r="C39" s="16" t="s">
        <v>17</v>
      </c>
      <c r="D39" s="16" t="s">
        <v>189</v>
      </c>
      <c r="E39" s="22" t="s">
        <v>47</v>
      </c>
      <c r="F39" s="18" t="s">
        <v>48</v>
      </c>
      <c r="G39" s="16" t="s">
        <v>124</v>
      </c>
      <c r="H39" s="16" t="s">
        <v>190</v>
      </c>
      <c r="I39" s="16" t="s">
        <v>191</v>
      </c>
      <c r="J39" s="18" t="s">
        <v>21</v>
      </c>
      <c r="K39" s="19">
        <v>2</v>
      </c>
      <c r="L39" s="20"/>
      <c r="M39" s="21">
        <f t="shared" si="0"/>
        <v>18</v>
      </c>
    </row>
    <row r="41" spans="1:13" ht="14.25" customHeight="1" x14ac:dyDescent="0.3">
      <c r="J41" s="23" t="s">
        <v>192</v>
      </c>
      <c r="K41" s="24">
        <f>SUM(K5:K39)</f>
        <v>172</v>
      </c>
      <c r="L41" s="24">
        <f>SUM(L5:L39)</f>
        <v>18</v>
      </c>
      <c r="M41" s="25">
        <f>M39</f>
        <v>18</v>
      </c>
    </row>
  </sheetData>
  <mergeCells count="2">
    <mergeCell ref="A1:M1"/>
    <mergeCell ref="A2:M2"/>
  </mergeCells>
  <pageMargins left="0.75" right="0.75" top="1" bottom="1" header="0.511811023622047" footer="0.511811023622047"/>
  <pageSetup scale="64" fitToHeight="0" orientation="landscape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F39"/>
  <sheetViews>
    <sheetView view="pageBreakPreview" topLeftCell="A10" zoomScale="112" zoomScaleNormal="100" zoomScaleSheetLayoutView="112" zoomScalePageLayoutView="112" workbookViewId="0">
      <selection activeCell="B11" sqref="B11"/>
    </sheetView>
  </sheetViews>
  <sheetFormatPr defaultColWidth="8.6640625" defaultRowHeight="14.4" x14ac:dyDescent="0.3"/>
  <cols>
    <col min="1" max="1" width="11.77734375" customWidth="1"/>
    <col min="2" max="2" width="24" customWidth="1"/>
    <col min="3" max="3" width="15.77734375" customWidth="1"/>
    <col min="4" max="6" width="26.33203125" customWidth="1"/>
  </cols>
  <sheetData>
    <row r="1" spans="1:6" ht="17.25" customHeight="1" x14ac:dyDescent="0.3">
      <c r="A1" s="12" t="s">
        <v>193</v>
      </c>
      <c r="B1" s="12"/>
      <c r="C1" s="12"/>
      <c r="D1" s="12"/>
      <c r="E1" s="12"/>
      <c r="F1" s="12"/>
    </row>
    <row r="3" spans="1:6" ht="14.25" customHeight="1" x14ac:dyDescent="0.3">
      <c r="A3" s="26" t="s">
        <v>194</v>
      </c>
      <c r="B3" s="10">
        <v>46080</v>
      </c>
      <c r="C3" s="10"/>
      <c r="D3" s="10"/>
      <c r="E3" s="10"/>
      <c r="F3" s="10"/>
    </row>
    <row r="4" spans="1:6" ht="14.25" customHeight="1" x14ac:dyDescent="0.3">
      <c r="A4" s="26" t="s">
        <v>195</v>
      </c>
      <c r="B4" s="9" t="s">
        <v>196</v>
      </c>
      <c r="C4" s="9"/>
      <c r="D4" s="9"/>
      <c r="E4" s="9"/>
      <c r="F4" s="9"/>
    </row>
    <row r="5" spans="1:6" ht="14.25" customHeight="1" x14ac:dyDescent="0.3">
      <c r="A5" s="26" t="s">
        <v>197</v>
      </c>
      <c r="B5" s="8" t="s">
        <v>198</v>
      </c>
      <c r="C5" s="8"/>
      <c r="D5" s="8"/>
      <c r="E5" s="8"/>
      <c r="F5" s="8"/>
    </row>
    <row r="6" spans="1:6" ht="14.25" customHeight="1" x14ac:dyDescent="0.3">
      <c r="A6" s="26" t="s">
        <v>199</v>
      </c>
      <c r="B6" s="8" t="s">
        <v>200</v>
      </c>
      <c r="C6" s="8"/>
      <c r="D6" s="8"/>
      <c r="E6" s="8"/>
      <c r="F6" s="8"/>
    </row>
    <row r="8" spans="1:6" ht="15" customHeight="1" x14ac:dyDescent="0.3">
      <c r="A8" s="7" t="s">
        <v>201</v>
      </c>
      <c r="B8" s="7"/>
      <c r="C8" s="7"/>
      <c r="D8" s="7"/>
      <c r="E8" s="7"/>
      <c r="F8" s="7"/>
    </row>
    <row r="9" spans="1:6" ht="14.25" customHeight="1" x14ac:dyDescent="0.3">
      <c r="A9" s="13" t="s">
        <v>2</v>
      </c>
      <c r="B9" s="13" t="s">
        <v>202</v>
      </c>
      <c r="C9" s="13" t="s">
        <v>6</v>
      </c>
      <c r="D9" s="13" t="s">
        <v>203</v>
      </c>
      <c r="E9" s="13" t="s">
        <v>204</v>
      </c>
      <c r="F9" s="13" t="s">
        <v>205</v>
      </c>
    </row>
    <row r="10" spans="1:6" ht="49.5" customHeight="1" x14ac:dyDescent="0.3">
      <c r="A10" s="27">
        <v>1</v>
      </c>
      <c r="B10" s="28" t="s">
        <v>206</v>
      </c>
      <c r="C10" s="29" t="s">
        <v>19</v>
      </c>
      <c r="D10" s="28" t="s">
        <v>207</v>
      </c>
      <c r="E10" s="28" t="s">
        <v>208</v>
      </c>
      <c r="F10" s="28" t="s">
        <v>209</v>
      </c>
    </row>
    <row r="11" spans="1:6" ht="49.5" customHeight="1" x14ac:dyDescent="0.3">
      <c r="A11" s="27">
        <v>2</v>
      </c>
      <c r="B11" s="28" t="s">
        <v>210</v>
      </c>
      <c r="C11" s="30" t="s">
        <v>47</v>
      </c>
      <c r="D11" s="28" t="s">
        <v>21</v>
      </c>
      <c r="E11" s="28" t="s">
        <v>211</v>
      </c>
      <c r="F11" s="28" t="s">
        <v>212</v>
      </c>
    </row>
    <row r="12" spans="1:6" ht="49.5" customHeight="1" x14ac:dyDescent="0.3">
      <c r="A12" s="27">
        <v>3</v>
      </c>
      <c r="B12" s="31" t="s">
        <v>213</v>
      </c>
      <c r="C12" s="30" t="s">
        <v>47</v>
      </c>
      <c r="D12" s="28" t="s">
        <v>21</v>
      </c>
      <c r="E12" s="28" t="s">
        <v>214</v>
      </c>
      <c r="F12" s="28" t="s">
        <v>215</v>
      </c>
    </row>
    <row r="13" spans="1:6" ht="49.5" customHeight="1" x14ac:dyDescent="0.3">
      <c r="A13" s="27">
        <v>4</v>
      </c>
      <c r="B13" s="31" t="s">
        <v>216</v>
      </c>
      <c r="C13" s="30" t="s">
        <v>47</v>
      </c>
      <c r="D13" s="28" t="s">
        <v>21</v>
      </c>
      <c r="E13" s="28" t="s">
        <v>21</v>
      </c>
      <c r="F13" s="28" t="s">
        <v>217</v>
      </c>
    </row>
    <row r="14" spans="1:6" ht="49.5" customHeight="1" x14ac:dyDescent="0.3">
      <c r="A14" s="27">
        <v>5</v>
      </c>
      <c r="B14" s="31" t="s">
        <v>218</v>
      </c>
      <c r="C14" s="30" t="s">
        <v>47</v>
      </c>
      <c r="D14" s="28" t="s">
        <v>21</v>
      </c>
      <c r="E14" s="28" t="s">
        <v>21</v>
      </c>
      <c r="F14" s="28" t="s">
        <v>219</v>
      </c>
    </row>
    <row r="16" spans="1:6" ht="14.25" customHeight="1" x14ac:dyDescent="0.3">
      <c r="A16" s="6" t="s">
        <v>220</v>
      </c>
      <c r="B16" s="6"/>
      <c r="C16" s="6"/>
      <c r="D16" s="6"/>
      <c r="E16" s="6"/>
      <c r="F16" s="6"/>
    </row>
    <row r="17" spans="1:6" ht="14.25" customHeight="1" x14ac:dyDescent="0.3">
      <c r="A17" s="32">
        <v>1</v>
      </c>
      <c r="B17" s="5" t="s">
        <v>221</v>
      </c>
      <c r="C17" s="5"/>
      <c r="D17" s="5"/>
      <c r="E17" s="5"/>
      <c r="F17" s="5"/>
    </row>
    <row r="18" spans="1:6" ht="14.25" customHeight="1" x14ac:dyDescent="0.3">
      <c r="A18" s="32">
        <v>2</v>
      </c>
      <c r="B18" s="5" t="s">
        <v>222</v>
      </c>
      <c r="C18" s="5"/>
      <c r="D18" s="5"/>
      <c r="E18" s="5"/>
      <c r="F18" s="5"/>
    </row>
    <row r="19" spans="1:6" ht="14.25" customHeight="1" x14ac:dyDescent="0.3">
      <c r="A19" s="32">
        <v>3</v>
      </c>
      <c r="B19" s="5" t="s">
        <v>222</v>
      </c>
      <c r="C19" s="5"/>
      <c r="D19" s="5"/>
      <c r="E19" s="5"/>
      <c r="F19" s="5"/>
    </row>
    <row r="21" spans="1:6" ht="14.25" customHeight="1" x14ac:dyDescent="0.3">
      <c r="A21" s="4" t="s">
        <v>223</v>
      </c>
      <c r="B21" s="4"/>
      <c r="C21" s="4"/>
      <c r="D21" s="4"/>
      <c r="E21" s="4"/>
      <c r="F21" s="4"/>
    </row>
    <row r="22" spans="1:6" ht="14.25" customHeight="1" x14ac:dyDescent="0.3">
      <c r="A22" s="13" t="s">
        <v>224</v>
      </c>
      <c r="B22" s="13" t="s">
        <v>225</v>
      </c>
      <c r="C22" s="13" t="s">
        <v>4</v>
      </c>
      <c r="D22" s="13" t="s">
        <v>226</v>
      </c>
      <c r="E22" s="13" t="s">
        <v>227</v>
      </c>
      <c r="F22" s="13"/>
    </row>
    <row r="23" spans="1:6" ht="37.5" customHeight="1" x14ac:dyDescent="0.3">
      <c r="A23" s="33">
        <v>1</v>
      </c>
      <c r="B23" s="28" t="s">
        <v>228</v>
      </c>
      <c r="C23" s="28" t="s">
        <v>17</v>
      </c>
      <c r="D23" s="28" t="s">
        <v>229</v>
      </c>
      <c r="E23" s="34" t="s">
        <v>230</v>
      </c>
      <c r="F23" s="35"/>
    </row>
    <row r="24" spans="1:6" ht="37.5" customHeight="1" x14ac:dyDescent="0.3">
      <c r="A24" s="33">
        <v>2</v>
      </c>
      <c r="B24" s="28" t="s">
        <v>231</v>
      </c>
      <c r="C24" s="28" t="s">
        <v>45</v>
      </c>
      <c r="D24" s="28" t="s">
        <v>229</v>
      </c>
      <c r="E24" s="34" t="s">
        <v>230</v>
      </c>
      <c r="F24" s="35"/>
    </row>
    <row r="25" spans="1:6" ht="37.5" customHeight="1" x14ac:dyDescent="0.3">
      <c r="A25" s="33">
        <v>3</v>
      </c>
      <c r="B25" s="28" t="s">
        <v>232</v>
      </c>
      <c r="C25" s="28" t="s">
        <v>233</v>
      </c>
      <c r="D25" s="28" t="s">
        <v>229</v>
      </c>
      <c r="E25" s="36" t="s">
        <v>234</v>
      </c>
      <c r="F25" s="35"/>
    </row>
    <row r="26" spans="1:6" ht="37.5" customHeight="1" x14ac:dyDescent="0.3">
      <c r="A26" s="33">
        <v>4</v>
      </c>
      <c r="B26" s="28" t="s">
        <v>235</v>
      </c>
      <c r="C26" s="28" t="s">
        <v>236</v>
      </c>
      <c r="D26" s="28" t="s">
        <v>229</v>
      </c>
      <c r="E26" s="28"/>
      <c r="F26" s="35"/>
    </row>
    <row r="28" spans="1:6" ht="14.25" customHeight="1" x14ac:dyDescent="0.3">
      <c r="A28" s="3" t="s">
        <v>237</v>
      </c>
      <c r="B28" s="3"/>
      <c r="C28" s="3"/>
      <c r="D28" s="3"/>
      <c r="E28" s="3"/>
      <c r="F28" s="3"/>
    </row>
    <row r="29" spans="1:6" ht="14.25" customHeight="1" x14ac:dyDescent="0.3">
      <c r="A29" s="13" t="s">
        <v>224</v>
      </c>
      <c r="B29" s="13" t="s">
        <v>238</v>
      </c>
      <c r="C29" s="13" t="s">
        <v>239</v>
      </c>
      <c r="D29" s="13" t="s">
        <v>240</v>
      </c>
      <c r="E29" s="13" t="s">
        <v>4</v>
      </c>
      <c r="F29" s="13"/>
    </row>
    <row r="30" spans="1:6" ht="37.5" customHeight="1" x14ac:dyDescent="0.3">
      <c r="A30" s="33">
        <v>1</v>
      </c>
      <c r="B30" s="28" t="s">
        <v>241</v>
      </c>
      <c r="C30" s="28" t="s">
        <v>242</v>
      </c>
      <c r="D30" s="28" t="s">
        <v>243</v>
      </c>
      <c r="E30" s="28" t="s">
        <v>17</v>
      </c>
      <c r="F30" s="35"/>
    </row>
    <row r="31" spans="1:6" ht="37.5" customHeight="1" x14ac:dyDescent="0.3">
      <c r="A31" s="33">
        <v>2</v>
      </c>
      <c r="B31" s="28" t="s">
        <v>244</v>
      </c>
      <c r="C31" s="28" t="s">
        <v>245</v>
      </c>
      <c r="D31" s="28" t="s">
        <v>246</v>
      </c>
      <c r="E31" s="28" t="s">
        <v>247</v>
      </c>
      <c r="F31" s="35"/>
    </row>
    <row r="32" spans="1:6" ht="37.5" customHeight="1" x14ac:dyDescent="0.3">
      <c r="A32" s="33">
        <v>3</v>
      </c>
      <c r="B32" s="28" t="s">
        <v>248</v>
      </c>
      <c r="C32" s="28" t="s">
        <v>249</v>
      </c>
      <c r="D32" s="28" t="s">
        <v>250</v>
      </c>
      <c r="E32" s="28" t="s">
        <v>251</v>
      </c>
      <c r="F32" s="35"/>
    </row>
    <row r="33" spans="1:6" ht="37.5" customHeight="1" x14ac:dyDescent="0.3">
      <c r="A33" s="33">
        <v>4</v>
      </c>
      <c r="B33" s="28" t="s">
        <v>252</v>
      </c>
      <c r="C33" s="28"/>
      <c r="D33" s="28"/>
      <c r="E33" s="28"/>
      <c r="F33" s="35"/>
    </row>
    <row r="35" spans="1:6" ht="14.25" customHeight="1" x14ac:dyDescent="0.3">
      <c r="A35" s="2" t="s">
        <v>253</v>
      </c>
      <c r="B35" s="2"/>
      <c r="C35" s="2"/>
      <c r="D35" s="2"/>
      <c r="E35" s="2"/>
      <c r="F35" s="2"/>
    </row>
    <row r="36" spans="1:6" ht="16.5" customHeight="1" x14ac:dyDescent="0.3">
      <c r="A36" s="13" t="s">
        <v>224</v>
      </c>
      <c r="B36" s="13" t="s">
        <v>254</v>
      </c>
      <c r="C36" s="13" t="s">
        <v>255</v>
      </c>
      <c r="D36" s="13" t="s">
        <v>256</v>
      </c>
      <c r="E36" s="13"/>
      <c r="F36" s="13"/>
    </row>
    <row r="37" spans="1:6" ht="48" customHeight="1" x14ac:dyDescent="0.3">
      <c r="A37" s="33">
        <v>1</v>
      </c>
      <c r="B37" s="28" t="s">
        <v>257</v>
      </c>
      <c r="C37" s="28" t="s">
        <v>258</v>
      </c>
      <c r="D37" s="28" t="s">
        <v>229</v>
      </c>
      <c r="E37" s="35"/>
      <c r="F37" s="35"/>
    </row>
    <row r="38" spans="1:6" ht="48" customHeight="1" x14ac:dyDescent="0.3">
      <c r="A38" s="33">
        <v>2</v>
      </c>
      <c r="B38" s="28" t="s">
        <v>259</v>
      </c>
      <c r="C38" s="28" t="s">
        <v>260</v>
      </c>
      <c r="D38" s="28" t="s">
        <v>229</v>
      </c>
      <c r="E38" s="35"/>
      <c r="F38" s="35"/>
    </row>
    <row r="39" spans="1:6" ht="48" customHeight="1" x14ac:dyDescent="0.3">
      <c r="A39" s="33">
        <v>3</v>
      </c>
      <c r="B39" s="28" t="s">
        <v>261</v>
      </c>
      <c r="C39" s="28" t="s">
        <v>258</v>
      </c>
      <c r="D39" s="28" t="s">
        <v>229</v>
      </c>
      <c r="E39" s="35"/>
      <c r="F39" s="35"/>
    </row>
  </sheetData>
  <mergeCells count="13">
    <mergeCell ref="A21:F21"/>
    <mergeCell ref="A28:F28"/>
    <mergeCell ref="A35:F35"/>
    <mergeCell ref="A8:F8"/>
    <mergeCell ref="A16:F16"/>
    <mergeCell ref="B17:F17"/>
    <mergeCell ref="B18:F18"/>
    <mergeCell ref="B19:F19"/>
    <mergeCell ref="A1:F1"/>
    <mergeCell ref="B3:F3"/>
    <mergeCell ref="B4:F4"/>
    <mergeCell ref="B5:F5"/>
    <mergeCell ref="B6:F6"/>
  </mergeCells>
  <pageMargins left="0.75" right="0.75" top="1" bottom="1" header="0.511811023622047" footer="0.511811023622047"/>
  <pageSetup scale="92" fitToHeight="0" orientation="landscape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9"/>
  <sheetViews>
    <sheetView view="pageBreakPreview" topLeftCell="A31" zoomScale="124" zoomScaleNormal="100" zoomScalePageLayoutView="124" workbookViewId="0">
      <selection activeCell="F3" sqref="F3"/>
    </sheetView>
  </sheetViews>
  <sheetFormatPr defaultColWidth="8.6640625" defaultRowHeight="14.4" x14ac:dyDescent="0.3"/>
  <cols>
    <col min="1" max="1" width="8" customWidth="1"/>
    <col min="2" max="2" width="14" customWidth="1"/>
    <col min="3" max="3" width="8" customWidth="1"/>
    <col min="4" max="4" width="45" customWidth="1"/>
    <col min="5" max="5" width="30" customWidth="1"/>
    <col min="6" max="6" width="14" customWidth="1"/>
    <col min="7" max="7" width="8" customWidth="1"/>
  </cols>
  <sheetData>
    <row r="1" spans="1:7" ht="17.25" customHeight="1" x14ac:dyDescent="0.3">
      <c r="A1" s="1" t="s">
        <v>262</v>
      </c>
      <c r="B1" s="1"/>
      <c r="C1" s="1"/>
      <c r="D1" s="1"/>
      <c r="E1" s="1"/>
      <c r="F1" s="1"/>
      <c r="G1" s="1"/>
    </row>
    <row r="3" spans="1:7" ht="14.25" customHeight="1" x14ac:dyDescent="0.3">
      <c r="A3" s="13" t="s">
        <v>263</v>
      </c>
      <c r="B3" s="13" t="s">
        <v>264</v>
      </c>
      <c r="C3" s="13" t="s">
        <v>2</v>
      </c>
      <c r="D3" s="13" t="s">
        <v>265</v>
      </c>
      <c r="E3" s="13" t="s">
        <v>266</v>
      </c>
      <c r="F3" s="13" t="s">
        <v>267</v>
      </c>
      <c r="G3" s="13" t="s">
        <v>268</v>
      </c>
    </row>
    <row r="4" spans="1:7" ht="45" customHeight="1" x14ac:dyDescent="0.3">
      <c r="A4" s="28" t="s">
        <v>15</v>
      </c>
      <c r="B4" s="28" t="s">
        <v>269</v>
      </c>
      <c r="C4" s="28" t="s">
        <v>15</v>
      </c>
      <c r="D4" s="28" t="s">
        <v>270</v>
      </c>
      <c r="E4" s="28" t="s">
        <v>271</v>
      </c>
      <c r="F4" s="29" t="s">
        <v>272</v>
      </c>
      <c r="G4" s="28"/>
    </row>
    <row r="5" spans="1:7" ht="14.25" customHeight="1" x14ac:dyDescent="0.3">
      <c r="A5" s="37"/>
      <c r="B5" s="37"/>
      <c r="C5" s="37"/>
      <c r="D5" s="37"/>
      <c r="E5" s="37"/>
      <c r="F5" s="37"/>
      <c r="G5" s="37"/>
    </row>
    <row r="6" spans="1:7" ht="14.25" customHeight="1" x14ac:dyDescent="0.3">
      <c r="A6" s="37"/>
      <c r="B6" s="37"/>
      <c r="C6" s="37"/>
      <c r="D6" s="37"/>
      <c r="E6" s="37"/>
      <c r="F6" s="37"/>
      <c r="G6" s="37"/>
    </row>
    <row r="7" spans="1:7" ht="14.25" customHeight="1" x14ac:dyDescent="0.3">
      <c r="A7" s="37"/>
      <c r="B7" s="37"/>
      <c r="C7" s="37"/>
      <c r="D7" s="37"/>
      <c r="E7" s="37"/>
      <c r="F7" s="37"/>
      <c r="G7" s="37"/>
    </row>
    <row r="8" spans="1:7" ht="14.25" customHeight="1" x14ac:dyDescent="0.3">
      <c r="A8" s="37"/>
      <c r="B8" s="37"/>
      <c r="C8" s="37"/>
      <c r="D8" s="37"/>
      <c r="E8" s="37"/>
      <c r="F8" s="37"/>
      <c r="G8" s="37"/>
    </row>
    <row r="9" spans="1:7" ht="14.25" customHeight="1" x14ac:dyDescent="0.3">
      <c r="A9" s="37"/>
      <c r="B9" s="37"/>
      <c r="C9" s="37"/>
      <c r="D9" s="37"/>
      <c r="E9" s="37"/>
      <c r="F9" s="37"/>
      <c r="G9" s="37"/>
    </row>
    <row r="10" spans="1:7" ht="14.25" customHeight="1" x14ac:dyDescent="0.3">
      <c r="A10" s="37"/>
      <c r="B10" s="37"/>
      <c r="C10" s="37"/>
      <c r="D10" s="37"/>
      <c r="E10" s="37"/>
      <c r="F10" s="37"/>
      <c r="G10" s="37"/>
    </row>
    <row r="11" spans="1:7" ht="14.25" customHeight="1" x14ac:dyDescent="0.3">
      <c r="A11" s="37"/>
      <c r="B11" s="37"/>
      <c r="C11" s="37"/>
      <c r="D11" s="37"/>
      <c r="E11" s="37"/>
      <c r="F11" s="37"/>
      <c r="G11" s="37"/>
    </row>
    <row r="12" spans="1:7" ht="14.25" customHeight="1" x14ac:dyDescent="0.3">
      <c r="A12" s="37"/>
      <c r="B12" s="37"/>
      <c r="C12" s="37"/>
      <c r="D12" s="37"/>
      <c r="E12" s="37"/>
      <c r="F12" s="37"/>
      <c r="G12" s="37"/>
    </row>
    <row r="13" spans="1:7" ht="14.25" customHeight="1" x14ac:dyDescent="0.3">
      <c r="A13" s="37"/>
      <c r="B13" s="37"/>
      <c r="C13" s="37"/>
      <c r="D13" s="37"/>
      <c r="E13" s="37"/>
      <c r="F13" s="37"/>
      <c r="G13" s="37"/>
    </row>
    <row r="14" spans="1:7" ht="14.25" customHeight="1" x14ac:dyDescent="0.3">
      <c r="A14" s="37"/>
      <c r="B14" s="37"/>
      <c r="C14" s="37"/>
      <c r="D14" s="37"/>
      <c r="E14" s="37"/>
      <c r="F14" s="37"/>
      <c r="G14" s="37"/>
    </row>
    <row r="15" spans="1:7" ht="14.25" customHeight="1" x14ac:dyDescent="0.3">
      <c r="A15" s="37"/>
      <c r="B15" s="37"/>
      <c r="C15" s="37"/>
      <c r="D15" s="37"/>
      <c r="E15" s="37"/>
      <c r="F15" s="37"/>
      <c r="G15" s="37"/>
    </row>
    <row r="16" spans="1:7" ht="14.25" customHeight="1" x14ac:dyDescent="0.3">
      <c r="A16" s="37"/>
      <c r="B16" s="37"/>
      <c r="C16" s="37"/>
      <c r="D16" s="37"/>
      <c r="E16" s="37"/>
      <c r="F16" s="37"/>
      <c r="G16" s="37"/>
    </row>
    <row r="17" spans="1:7" ht="14.25" customHeight="1" x14ac:dyDescent="0.3">
      <c r="A17" s="37"/>
      <c r="B17" s="37"/>
      <c r="C17" s="37"/>
      <c r="D17" s="37"/>
      <c r="E17" s="37"/>
      <c r="F17" s="37"/>
      <c r="G17" s="37"/>
    </row>
    <row r="18" spans="1:7" ht="14.25" customHeight="1" x14ac:dyDescent="0.3">
      <c r="A18" s="37"/>
      <c r="B18" s="37"/>
      <c r="C18" s="37"/>
      <c r="D18" s="37"/>
      <c r="E18" s="37"/>
      <c r="F18" s="37"/>
      <c r="G18" s="37"/>
    </row>
    <row r="19" spans="1:7" ht="14.25" customHeight="1" x14ac:dyDescent="0.3">
      <c r="A19" s="37"/>
      <c r="B19" s="37"/>
      <c r="C19" s="37"/>
      <c r="D19" s="37"/>
      <c r="E19" s="37"/>
      <c r="F19" s="37"/>
      <c r="G19" s="37"/>
    </row>
    <row r="20" spans="1:7" ht="14.25" customHeight="1" x14ac:dyDescent="0.3">
      <c r="A20" s="37"/>
      <c r="B20" s="37"/>
      <c r="C20" s="37"/>
      <c r="D20" s="37"/>
      <c r="E20" s="37"/>
      <c r="F20" s="37"/>
      <c r="G20" s="37"/>
    </row>
    <row r="21" spans="1:7" ht="14.25" customHeight="1" x14ac:dyDescent="0.3">
      <c r="A21" s="37"/>
      <c r="B21" s="37"/>
      <c r="C21" s="37"/>
      <c r="D21" s="37"/>
      <c r="E21" s="37"/>
      <c r="F21" s="37"/>
      <c r="G21" s="37"/>
    </row>
    <row r="22" spans="1:7" ht="14.25" customHeight="1" x14ac:dyDescent="0.3">
      <c r="A22" s="37"/>
      <c r="B22" s="37"/>
      <c r="C22" s="37"/>
      <c r="D22" s="37"/>
      <c r="E22" s="37"/>
      <c r="F22" s="37"/>
      <c r="G22" s="37"/>
    </row>
    <row r="23" spans="1:7" ht="14.25" customHeight="1" x14ac:dyDescent="0.3">
      <c r="A23" s="37"/>
      <c r="B23" s="37"/>
      <c r="C23" s="37"/>
      <c r="D23" s="37"/>
      <c r="E23" s="37"/>
      <c r="F23" s="37"/>
      <c r="G23" s="37"/>
    </row>
    <row r="24" spans="1:7" ht="14.25" customHeight="1" x14ac:dyDescent="0.3">
      <c r="A24" s="37"/>
      <c r="B24" s="37"/>
      <c r="C24" s="37"/>
      <c r="D24" s="37"/>
      <c r="E24" s="37"/>
      <c r="F24" s="37"/>
      <c r="G24" s="37"/>
    </row>
    <row r="25" spans="1:7" ht="14.25" customHeight="1" x14ac:dyDescent="0.3">
      <c r="A25" s="37"/>
      <c r="B25" s="37"/>
      <c r="C25" s="37"/>
      <c r="D25" s="37"/>
      <c r="E25" s="37"/>
      <c r="F25" s="37"/>
      <c r="G25" s="37"/>
    </row>
    <row r="26" spans="1:7" ht="14.25" customHeight="1" x14ac:dyDescent="0.3">
      <c r="A26" s="37"/>
      <c r="B26" s="37"/>
      <c r="C26" s="37"/>
      <c r="D26" s="37"/>
      <c r="E26" s="37"/>
      <c r="F26" s="37"/>
      <c r="G26" s="37"/>
    </row>
    <row r="27" spans="1:7" ht="14.25" customHeight="1" x14ac:dyDescent="0.3">
      <c r="A27" s="37"/>
      <c r="B27" s="37"/>
      <c r="C27" s="37"/>
      <c r="D27" s="37"/>
      <c r="E27" s="37"/>
      <c r="F27" s="37"/>
      <c r="G27" s="37"/>
    </row>
    <row r="28" spans="1:7" ht="14.25" customHeight="1" x14ac:dyDescent="0.3">
      <c r="A28" s="37"/>
      <c r="B28" s="37"/>
      <c r="C28" s="37"/>
      <c r="D28" s="37"/>
      <c r="E28" s="37"/>
      <c r="F28" s="37"/>
      <c r="G28" s="37"/>
    </row>
    <row r="29" spans="1:7" ht="14.25" customHeight="1" x14ac:dyDescent="0.3">
      <c r="A29" s="37"/>
      <c r="B29" s="37"/>
      <c r="C29" s="37"/>
      <c r="D29" s="37"/>
      <c r="E29" s="37"/>
      <c r="F29" s="37"/>
      <c r="G29" s="37"/>
    </row>
  </sheetData>
  <mergeCells count="1">
    <mergeCell ref="A1:G1"/>
  </mergeCells>
  <pageMargins left="0.75" right="0.75" top="1" bottom="1" header="0.511811023622047" footer="0.511811023622047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</vt:i4>
      </vt:variant>
    </vt:vector>
  </HeadingPairs>
  <TitlesOfParts>
    <vt:vector size="6" baseType="lpstr">
      <vt:lpstr>Project Tracker</vt:lpstr>
      <vt:lpstr>Weekly Status Report</vt:lpstr>
      <vt:lpstr>Progress Log</vt:lpstr>
      <vt:lpstr>'Progress Log'!Print_Area</vt:lpstr>
      <vt:lpstr>'Project Tracker'!Print_Area</vt:lpstr>
      <vt:lpstr>'Weekly Status Report'!Print_Area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Alan Richardson</cp:lastModifiedBy>
  <cp:revision>0</cp:revision>
  <dcterms:created xsi:type="dcterms:W3CDTF">2026-02-23T20:57:06Z</dcterms:created>
  <dcterms:modified xsi:type="dcterms:W3CDTF">2026-02-25T12:00:25Z</dcterms:modified>
  <dc:language>en-US</dc:language>
</cp:coreProperties>
</file>