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uditcopty-my.sharepoint.com/personal/alan_richardson_auditco_com/Documents/_RPD/"/>
    </mc:Choice>
  </mc:AlternateContent>
  <xr:revisionPtr revIDLastSave="0" documentId="8_{E5E7D9A8-4DF8-471B-8ABB-0E9B3D86447C}" xr6:coauthVersionLast="47" xr6:coauthVersionMax="47" xr10:uidLastSave="{00000000-0000-0000-0000-000000000000}"/>
  <bookViews>
    <workbookView xWindow="30030" yWindow="-3150" windowWidth="22455" windowHeight="14280" tabRatio="500" xr2:uid="{00000000-000D-0000-FFFF-FFFF00000000}"/>
  </bookViews>
  <sheets>
    <sheet name="Project Tracker" sheetId="1" r:id="rId1"/>
    <sheet name="Weekly Status Report" sheetId="2" r:id="rId2"/>
    <sheet name="Progress Log" sheetId="3" r:id="rId3"/>
  </sheets>
  <definedNames>
    <definedName name="_xlnm.Print_Area" localSheetId="2">'Progress Log'!$A$3:$H$30</definedName>
    <definedName name="_xlnm.Print_Area" localSheetId="0">'Project Tracker'!$A$1:$M$30</definedName>
    <definedName name="_xlnm.Print_Area" localSheetId="1">'Weekly Status Report'!$A$1:$F$50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0" i="3" l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B49" i="2"/>
  <c r="L30" i="1"/>
  <c r="K30" i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30" i="1" s="1"/>
</calcChain>
</file>

<file path=xl/sharedStrings.xml><?xml version="1.0" encoding="utf-8"?>
<sst xmlns="http://schemas.openxmlformats.org/spreadsheetml/2006/main" count="359" uniqueCount="210">
  <si>
    <t>RPD WHS SYSTEM UPGRADE AND BREADCRUMB MIGRATION — PROJECT TRACKER</t>
  </si>
  <si>
    <t>Client: Robertson's Remedial and Painting Pty Ltd  |  Alan @ AuditCo  |  Project Start: February 2026</t>
  </si>
  <si>
    <t>Phase</t>
  </si>
  <si>
    <t>Task</t>
  </si>
  <si>
    <t>Owner</t>
  </si>
  <si>
    <t>Target Date</t>
  </si>
  <si>
    <t>Status</t>
  </si>
  <si>
    <t>% Complete</t>
  </si>
  <si>
    <t>Depends On</t>
  </si>
  <si>
    <t>Deliverable</t>
  </si>
  <si>
    <t>Notes</t>
  </si>
  <si>
    <t>Week Updated</t>
  </si>
  <si>
    <t>Est. Hours</t>
  </si>
  <si>
    <t>Actual Hours</t>
  </si>
  <si>
    <t>Cumulative Hrs</t>
  </si>
  <si>
    <t>1</t>
  </si>
  <si>
    <t>Gap analysis: RPD WHSMS V7 vs Ed.6 bare minimum</t>
  </si>
  <si>
    <t>Alan</t>
  </si>
  <si>
    <t>28 Feb 2025</t>
  </si>
  <si>
    <t>DONE</t>
  </si>
  <si>
    <t>100%</t>
  </si>
  <si>
    <t>—</t>
  </si>
  <si>
    <t>Bare Minimum Ed.6 Review (.docx)</t>
  </si>
  <si>
    <t>Completed. Both ISO and non-ISO versions delivered.</t>
  </si>
  <si>
    <t>Document register: map every V7 form/register to status</t>
  </si>
  <si>
    <t>Gap analysis</t>
  </si>
  <si>
    <t>Phase 1 Document Register (.xlsx)</t>
  </si>
  <si>
    <t>40 items mapped with REPLACE/PARALLEL/RETAIN/CUSTOM BUILD status.</t>
  </si>
  <si>
    <t>Breadcrumb verification: confirm module capabilities</t>
  </si>
  <si>
    <t>Alan + RPD</t>
  </si>
  <si>
    <t>TBD</t>
  </si>
  <si>
    <t>NOT STARTED</t>
  </si>
  <si>
    <t>0%</t>
  </si>
  <si>
    <t>Document register</t>
  </si>
  <si>
    <t>Breadcrumb Verification Checklist (Sheet 2 of register)</t>
  </si>
  <si>
    <t>Requires Breadcrumb login. 15 modules to verify.</t>
  </si>
  <si>
    <t>Present Phase 1 findings to RPD management</t>
  </si>
  <si>
    <t>Verification</t>
  </si>
  <si>
    <t>Meeting + status report</t>
  </si>
  <si>
    <t>Key decision: confirm elimination list and proceed to V8 drafting.</t>
  </si>
  <si>
    <t>2</t>
  </si>
  <si>
    <t>Draft V8 Section 1: Senior Management Commitment</t>
  </si>
  <si>
    <t>Phase 1 sign-off</t>
  </si>
  <si>
    <t>V8 Section 1 draft (.docx)</t>
  </si>
  <si>
    <t>Merge policies. Remove ISO content. Plain English.</t>
  </si>
  <si>
    <t>Draft V8 Section 2: Communication and Consultation</t>
  </si>
  <si>
    <t>V8 Section 2 draft (.docx)</t>
  </si>
  <si>
    <t>Add Breadcrumb references.</t>
  </si>
  <si>
    <t>Draft V8 Section 3: Managing Service Providers</t>
  </si>
  <si>
    <t>V8 Section 3 draft (.docx)</t>
  </si>
  <si>
    <t>Streamline pre-qual. Reference Breadcrumb contractor module.</t>
  </si>
  <si>
    <t>Draft V8 Section 4: Risk Management + Procedures</t>
  </si>
  <si>
    <t>V8 Section 4 draft + 7 procedures (.docx)</t>
  </si>
  <si>
    <t>Merge policies+procedures. Include demo procedures (demolition, heights, etc).</t>
  </si>
  <si>
    <t>Draft V8 Sections 5–11: Training through Records</t>
  </si>
  <si>
    <t>Section 4 draft</t>
  </si>
  <si>
    <t>V8 Sections 5–11 (.docx)</t>
  </si>
  <si>
    <t>Merge incident + corrective action. Remove ISO management review inputs.</t>
  </si>
  <si>
    <t>RPD management review of V8 draft</t>
  </si>
  <si>
    <t>RPD Director</t>
  </si>
  <si>
    <t>All V8 drafts</t>
  </si>
  <si>
    <t>Marked-up draft + feedback</t>
  </si>
  <si>
    <t>Leslie Robertson to review and approve.</t>
  </si>
  <si>
    <t>Issue V8 final</t>
  </si>
  <si>
    <t>Management review</t>
  </si>
  <si>
    <t>RPD WHSMS V8 (.docx + PDF)</t>
  </si>
  <si>
    <t>Target: 100–120 pages. Signed by Director.</t>
  </si>
  <si>
    <t>3</t>
  </si>
  <si>
    <t>Configure Breadcrumb: toolbox talks, hazard reports, inspections</t>
  </si>
  <si>
    <t>Breadcrumb verification</t>
  </si>
  <si>
    <t>Configured Breadcrumb modules</t>
  </si>
  <si>
    <t>HIGH priority forms first.</t>
  </si>
  <si>
    <t>Configure Breadcrumb: inductions, competency tracking</t>
  </si>
  <si>
    <t>Upload existing training/licence data.</t>
  </si>
  <si>
    <t>Configure Breadcrumb: incidents, corrective actions</t>
  </si>
  <si>
    <t>Test auto-notification for notifiable incidents.</t>
  </si>
  <si>
    <t>Configure Breadcrumb: contractor management, asset registers</t>
  </si>
  <si>
    <t>Bulk import from existing Excel registers.</t>
  </si>
  <si>
    <t>Build custom templates (Subcontractor Statement, RTW Plan)</t>
  </si>
  <si>
    <t>Custom Breadcrumb templates</t>
  </si>
  <si>
    <t>Only if Breadcrumb can't handle natively.</t>
  </si>
  <si>
    <t>Parallel run: paper + Breadcrumb side by side (4–8 weeks)</t>
  </si>
  <si>
    <t>RPD site teams</t>
  </si>
  <si>
    <t>All Breadcrumb config</t>
  </si>
  <si>
    <t>Parallel run log</t>
  </si>
  <si>
    <t>Minimum 4 weeks for HIGH priority forms, 8 weeks for registers.</t>
  </si>
  <si>
    <t>4</t>
  </si>
  <si>
    <t>Develop re-induction package for V8 + Breadcrumb</t>
  </si>
  <si>
    <t>V8 issued</t>
  </si>
  <si>
    <t>Induction presentation + quiz</t>
  </si>
  <si>
    <t>Cover: what changed, why, how to use Breadcrumb, key procedures.</t>
  </si>
  <si>
    <t>Deliver re-induction to all RPD workers</t>
  </si>
  <si>
    <t>RPD + Alan</t>
  </si>
  <si>
    <t>Re-induction package</t>
  </si>
  <si>
    <t>Signed induction records (Breadcrumb)</t>
  </si>
  <si>
    <t>Record in Breadcrumb induction module.</t>
  </si>
  <si>
    <t>Supervisor training on Breadcrumb admin</t>
  </si>
  <si>
    <t>Alan + Breadcrumb</t>
  </si>
  <si>
    <t>Breadcrumb config</t>
  </si>
  <si>
    <t>Training records</t>
  </si>
  <si>
    <t>Site Supervisors + PMs need admin access training.</t>
  </si>
  <si>
    <t>5</t>
  </si>
  <si>
    <t>Withdraw superseded .docx forms (SUPERSEDED watermark)</t>
  </si>
  <si>
    <t>Parallel run complete</t>
  </si>
  <si>
    <t>Updated document register</t>
  </si>
  <si>
    <t>Archive on server. Do not delete.</t>
  </si>
  <si>
    <t>Post-implementation internal audit (Ed.6 checklists 1–12)</t>
  </si>
  <si>
    <t>V8 + Breadcrumb live</t>
  </si>
  <si>
    <t>Internal Audit Report (.docx)</t>
  </si>
  <si>
    <t>Within 3 months of V8 issue. Use RPD audit form (10.3).</t>
  </si>
  <si>
    <t>Management review meeting</t>
  </si>
  <si>
    <t>RPD Director + Alan</t>
  </si>
  <si>
    <t>Internal audit</t>
  </si>
  <si>
    <t>Management Review Minutes</t>
  </si>
  <si>
    <t>Review V8 effectiveness, Breadcrumb adoption, corrective actions.</t>
  </si>
  <si>
    <t>Close out project</t>
  </si>
  <si>
    <t>Project close-out report</t>
  </si>
  <si>
    <t>Confirm Ed.6 compliance. Hand over to RPD for ongoing maintenance.</t>
  </si>
  <si>
    <t>TOTALS:</t>
  </si>
  <si>
    <t>RPD WHS SYSTEM UPGRADE — WEEKLY STATUS REPORT</t>
  </si>
  <si>
    <t>Week Ending:</t>
  </si>
  <si>
    <t>Prepared By:</t>
  </si>
  <si>
    <t>Alan @ AuditCo</t>
  </si>
  <si>
    <t>For:</t>
  </si>
  <si>
    <t>Leslie Robertson (RPD Director) / Nick V</t>
  </si>
  <si>
    <t>Project:</t>
  </si>
  <si>
    <t>RPD WHSMS V8 Upgrade And Breadcrumb Digital Migration</t>
  </si>
  <si>
    <t>OVERALL PROJECT STATUS</t>
  </si>
  <si>
    <t>Description</t>
  </si>
  <si>
    <t>This Week</t>
  </si>
  <si>
    <t>Next Week</t>
  </si>
  <si>
    <t>Risks / Issues</t>
  </si>
  <si>
    <t>Gap Analysis &amp; Scoping</t>
  </si>
  <si>
    <t>Gap analysis and document register completed. Delivered to RPD.</t>
  </si>
  <si>
    <t>Present findings to RPD management. Schedule Breadcrumb verification session.</t>
  </si>
  <si>
    <t>None</t>
  </si>
  <si>
    <t>WHS Management Plan V8</t>
  </si>
  <si>
    <t>Awaiting Phase 1 sign-off before commencing V8 drafting.</t>
  </si>
  <si>
    <t>Delay if RPD management review takes longer than 1 week.</t>
  </si>
  <si>
    <t>Form and Template Migration</t>
  </si>
  <si>
    <t>Awaiting Breadcrumb verification.</t>
  </si>
  <si>
    <t>Breadcrumb module gaps could delay migration.</t>
  </si>
  <si>
    <t>Training and Competency</t>
  </si>
  <si>
    <t>Scheduling site re-inductions depends on Phase 2+3 completion.</t>
  </si>
  <si>
    <t>Verification and Close-out</t>
  </si>
  <si>
    <t>Internal audit timing depends on all prior phases.</t>
  </si>
  <si>
    <t>KEY ACHIEVEMENTS THIS WEEK</t>
  </si>
  <si>
    <t>Completed bare minimum Ed.6 gap analysis — 22 sections identified for elimination, 14 forms for Breadcrumb migration.</t>
  </si>
  <si>
    <t>[Enter achievement]</t>
  </si>
  <si>
    <t>ACTIONS FOR NEXT WEEK</t>
  </si>
  <si>
    <t>#</t>
  </si>
  <si>
    <t>Action</t>
  </si>
  <si>
    <t>Due</t>
  </si>
  <si>
    <t>Priority</t>
  </si>
  <si>
    <t>Present Phase 1 gap analysis to Leslie Robertson for approval</t>
  </si>
  <si>
    <t>[DATE]</t>
  </si>
  <si>
    <t>HIGH</t>
  </si>
  <si>
    <t>Schedule Breadcrumb verification session (need login access)</t>
  </si>
  <si>
    <t>Confirm elimination list — any items RPD wants to keep despite Ed.6?</t>
  </si>
  <si>
    <t>Leslie / Alan</t>
  </si>
  <si>
    <t>MEDIUM</t>
  </si>
  <si>
    <t>[Enter action]</t>
  </si>
  <si>
    <t>[Owner]</t>
  </si>
  <si>
    <t>RISKS &amp; ISSUES</t>
  </si>
  <si>
    <t>Risk / Issue</t>
  </si>
  <si>
    <t>Impact</t>
  </si>
  <si>
    <t>Mitigation</t>
  </si>
  <si>
    <t>Breadcrumb modules may not cover all RPD requirements</t>
  </si>
  <si>
    <t>Delay to Phase 3 if custom builds needed</t>
  </si>
  <si>
    <t>Early verification session. Identify gaps before V8 drafting.</t>
  </si>
  <si>
    <t>RPD management availability for review and sign-off</t>
  </si>
  <si>
    <t>Delay to Phase 2 if V8 review stalls</t>
  </si>
  <si>
    <t>Book review sessions in advance. Set 1-week turnaround expectation.</t>
  </si>
  <si>
    <t>Alan / Leslie</t>
  </si>
  <si>
    <t>Worker resistance to digital system change</t>
  </si>
  <si>
    <t>Low adoption of Breadcrumb</t>
  </si>
  <si>
    <t>Involve site supervisors early. Demonstrate time savings. Parallel run period.</t>
  </si>
  <si>
    <t>RPD / Alan</t>
  </si>
  <si>
    <t>[Enter risk]</t>
  </si>
  <si>
    <t>DECISIONS NEEDED FROM CLIENT</t>
  </si>
  <si>
    <t>Decision Required</t>
  </si>
  <si>
    <t>Decision Maker</t>
  </si>
  <si>
    <t>Needed By</t>
  </si>
  <si>
    <t>Approve elimination list — confirm RPD is comfortable dropping ISO 45001 future-proofing</t>
  </si>
  <si>
    <t>Leslie Robertson</t>
  </si>
  <si>
    <t>Provide Breadcrumb login credentials for verification testing</t>
  </si>
  <si>
    <t>RPD IT / Operations</t>
  </si>
  <si>
    <t>Confirm V8 review turnaround time (recommend 1 week per section)</t>
  </si>
  <si>
    <t>HOURS THIS WEEK</t>
  </si>
  <si>
    <t>Activity</t>
  </si>
  <si>
    <t>Hours</t>
  </si>
  <si>
    <t>Gap analysis / document review</t>
  </si>
  <si>
    <t>Procedure drafting</t>
  </si>
  <si>
    <t>Breadcrumb configuration</t>
  </si>
  <si>
    <t>V8 drafting</t>
  </si>
  <si>
    <t>Client meetings / presentations</t>
  </si>
  <si>
    <t>Administration / reporting</t>
  </si>
  <si>
    <t>TOTAL THIS WEEK</t>
  </si>
  <si>
    <t>CUMULATIVE PROJECT TOTAL</t>
  </si>
  <si>
    <t>Enter manually from Progress Log running total</t>
  </si>
  <si>
    <t>WEEKLY PROGRESS LOG — Append one row per week</t>
  </si>
  <si>
    <t>Week #</t>
  </si>
  <si>
    <t>Week Ending</t>
  </si>
  <si>
    <t>Key Achievement</t>
  </si>
  <si>
    <t>Blockers</t>
  </si>
  <si>
    <t>Overall RAG</t>
  </si>
  <si>
    <t>Gap analysis complete. Document register complete. 7 demo procedures generated. Reference library pushed to Gatekeeper repo.</t>
  </si>
  <si>
    <t>Awaiting RPD management review session and Breadcrumb access.</t>
  </si>
  <si>
    <t>ON TRACK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</si>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</sst>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12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  <charset val="1"/>
    </font>
    <font>
      <sz val="9"/>
      <name val="Arial"/>
      <family val="2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theme="0"/>
      <name val="Arial"/>
      <family val="2"/>
      <charset val="1"/>
    </font>
    <font>
      <b/>
      <sz val="11"/>
      <color theme="0"/>
      <name val="Arial"/>
      <family val="2"/>
      <charset val="1"/>
    </font>
    <font>
      <b/>
      <sz val="11"/>
      <name val="Arial"/>
      <family val="2"/>
      <charset val="1"/>
    </font>
    <font>
      <i/>
      <sz val="8"/>
      <color rgb="FF888888"/>
      <name val="Arial"/>
      <charset val="1"/>
    </font>
    <font>
      <b/>
      <sz val="14"/>
      <name val="Arial"/>
      <family val="2"/>
      <charset val="1"/>
    </font>
    <font>
      <b/>
      <sz val="11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rgb="FF888888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CE4EC"/>
        <bgColor rgb="FFF2F2F2"/>
      </patternFill>
    </fill>
    <fill>
      <patternFill patternType="solid">
        <fgColor theme="9" tint="0.39988402966399123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theme="1"/>
        <bgColor rgb="FFE2EFDA"/>
      </patternFill>
    </fill>
    <fill>
      <patternFill patternType="solid">
        <fgColor theme="0" tint="-0.34998626667073579"/>
        <bgColor rgb="FF333333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rgb="FFAAAAAA"/>
      </left>
      <right style="hair">
        <color rgb="FFAAAAAA"/>
      </right>
      <top style="hair">
        <color rgb="FFAAAAAA"/>
      </top>
      <bottom style="hair">
        <color rgb="FFAAAAAA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AAAAAA"/>
      </left>
      <right style="thin">
        <color rgb="FFAAAAAA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10" borderId="0" xfId="0" applyFont="1" applyFill="1"/>
    <xf numFmtId="0" fontId="8" fillId="9" borderId="0" xfId="0" applyFont="1" applyFill="1"/>
    <xf numFmtId="0" fontId="8" fillId="7" borderId="0" xfId="0" applyFont="1" applyFill="1"/>
    <xf numFmtId="0" fontId="5" fillId="0" borderId="5" xfId="0" applyFont="1" applyBorder="1" applyAlignment="1">
      <alignment vertical="top" wrapText="1"/>
    </xf>
    <xf numFmtId="0" fontId="7" fillId="6" borderId="0" xfId="0" applyFont="1" applyFill="1"/>
    <xf numFmtId="0" fontId="6" fillId="6" borderId="0" xfId="0" applyFont="1" applyFill="1"/>
    <xf numFmtId="0" fontId="2" fillId="0" borderId="3" xfId="0" applyFont="1" applyBorder="1"/>
    <xf numFmtId="0" fontId="5" fillId="0" borderId="3" xfId="0" applyFont="1" applyBorder="1"/>
    <xf numFmtId="165" fontId="5" fillId="0" borderId="3" xfId="0" applyNumberFormat="1" applyFont="1" applyBorder="1" applyAlignment="1">
      <alignment horizontal="left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164" fontId="5" fillId="0" borderId="2" xfId="0" applyNumberFormat="1" applyFont="1" applyBorder="1" applyAlignment="1">
      <alignment horizontal="center" vertical="top" wrapText="1"/>
    </xf>
    <xf numFmtId="164" fontId="5" fillId="4" borderId="2" xfId="0" applyNumberFormat="1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3" xfId="0" applyFont="1" applyBorder="1"/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top" wrapText="1"/>
    </xf>
    <xf numFmtId="0" fontId="4" fillId="8" borderId="4" xfId="0" applyFont="1" applyFill="1" applyBorder="1" applyAlignment="1">
      <alignment vertical="top" wrapText="1"/>
    </xf>
    <xf numFmtId="0" fontId="0" fillId="0" borderId="4" xfId="0" applyBorder="1"/>
    <xf numFmtId="0" fontId="4" fillId="4" borderId="4" xfId="0" applyFont="1" applyFill="1" applyBorder="1" applyAlignment="1">
      <alignment vertical="top" wrapText="1"/>
    </xf>
    <xf numFmtId="164" fontId="5" fillId="0" borderId="4" xfId="0" applyNumberFormat="1" applyFont="1" applyBorder="1" applyAlignment="1">
      <alignment vertical="top" wrapText="1"/>
    </xf>
    <xf numFmtId="164" fontId="5" fillId="4" borderId="4" xfId="0" applyNumberFormat="1" applyFont="1" applyFill="1" applyBorder="1" applyAlignment="1">
      <alignment horizontal="center" vertical="top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0" fontId="4" fillId="0" borderId="0" xfId="0" applyFont="1" applyAlignment="1">
      <alignment horizontal="right"/>
    </xf>
    <xf numFmtId="164" fontId="4" fillId="4" borderId="6" xfId="0" applyNumberFormat="1" applyFont="1" applyFill="1" applyBorder="1" applyAlignment="1">
      <alignment horizontal="center"/>
    </xf>
    <xf numFmtId="0" fontId="10" fillId="0" borderId="0" xfId="0" applyFont="1"/>
    <xf numFmtId="0" fontId="11" fillId="11" borderId="0" xfId="0" applyFont="1" applyFill="1"/>
    <xf numFmtId="0" fontId="0" fillId="13" borderId="0" xfId="0" applyFill="1"/>
    <xf numFmtId="0" fontId="3" fillId="12" borderId="1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164" fontId="4" fillId="3" borderId="4" xfId="0" applyNumberFormat="1" applyFont="1" applyFill="1" applyBorder="1" applyAlignment="1">
      <alignment horizontal="center" vertical="top"/>
    </xf>
    <xf numFmtId="0" fontId="0" fillId="0" borderId="4" xfId="0" applyBorder="1"/>
    <xf numFmtId="164" fontId="4" fillId="4" borderId="4" xfId="0" applyNumberFormat="1" applyFont="1" applyFill="1" applyBorder="1" applyAlignment="1">
      <alignment horizontal="center" vertical="top"/>
    </xf>
    <xf numFmtId="0" fontId="9" fillId="0" borderId="4" xfId="0" applyFont="1" applyBorder="1"/>
    <xf numFmtId="0" fontId="4" fillId="0" borderId="7" xfId="0" applyFont="1" applyBorder="1" applyAlignment="1">
      <alignment horizontal="right" vertical="top"/>
    </xf>
    <xf numFmtId="164" fontId="4" fillId="0" borderId="8" xfId="0" applyNumberFormat="1" applyFont="1" applyBorder="1" applyAlignment="1">
      <alignment horizontal="center" vertical="top" wrapText="1"/>
    </xf>
    <xf numFmtId="164" fontId="4" fillId="4" borderId="8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E2EFDA"/>
      <rgbColor rgb="FFFFFF99"/>
      <rgbColor rgb="FF99CCFF"/>
      <rgbColor rgb="FFFF99CC"/>
      <rgbColor rgb="FFAAAAAA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abSelected="1" view="pageBreakPreview" topLeftCell="B1" zoomScale="89" zoomScaleNormal="100" zoomScalePageLayoutView="89" workbookViewId="0">
      <pane ySplit="4" topLeftCell="A26" activePane="bottomLeft" state="frozen"/>
      <selection pane="bottomLeft" activeCell="L7" sqref="L7"/>
    </sheetView>
  </sheetViews>
  <sheetFormatPr defaultColWidth="8.6640625" defaultRowHeight="14.4" x14ac:dyDescent="0.3"/>
  <cols>
    <col min="1" max="1" width="8" customWidth="1"/>
    <col min="2" max="2" width="40" customWidth="1"/>
    <col min="3" max="5" width="14" customWidth="1"/>
    <col min="6" max="6" width="12" customWidth="1"/>
    <col min="7" max="7" width="16" customWidth="1"/>
    <col min="8" max="8" width="28" customWidth="1"/>
    <col min="9" max="9" width="30" customWidth="1"/>
    <col min="10" max="10" width="12" customWidth="1"/>
    <col min="11" max="11" width="11" customWidth="1"/>
    <col min="12" max="12" width="12" customWidth="1"/>
    <col min="13" max="13" width="13" customWidth="1"/>
  </cols>
  <sheetData>
    <row r="1" spans="1:13" ht="17.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3" ht="27.75" customHeight="1" x14ac:dyDescent="0.3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3" t="s">
        <v>12</v>
      </c>
      <c r="L4" s="13" t="s">
        <v>13</v>
      </c>
      <c r="M4" s="13" t="s">
        <v>14</v>
      </c>
    </row>
    <row r="5" spans="1:13" ht="39.75" customHeight="1" x14ac:dyDescent="0.3">
      <c r="A5" s="14" t="s">
        <v>15</v>
      </c>
      <c r="B5" s="15" t="s">
        <v>16</v>
      </c>
      <c r="C5" s="15" t="s">
        <v>17</v>
      </c>
      <c r="D5" s="15" t="s">
        <v>18</v>
      </c>
      <c r="E5" s="16" t="s">
        <v>19</v>
      </c>
      <c r="F5" s="17" t="s">
        <v>20</v>
      </c>
      <c r="G5" s="15" t="s">
        <v>21</v>
      </c>
      <c r="H5" s="15" t="s">
        <v>22</v>
      </c>
      <c r="I5" s="15" t="s">
        <v>23</v>
      </c>
      <c r="J5" s="15"/>
      <c r="K5" s="18"/>
      <c r="L5" s="18">
        <v>4</v>
      </c>
      <c r="M5" s="19">
        <f>L5</f>
        <v>4</v>
      </c>
    </row>
    <row r="6" spans="1:13" ht="39.75" customHeight="1" x14ac:dyDescent="0.3">
      <c r="A6" s="14" t="s">
        <v>15</v>
      </c>
      <c r="B6" s="15" t="s">
        <v>24</v>
      </c>
      <c r="C6" s="15" t="s">
        <v>17</v>
      </c>
      <c r="D6" s="15" t="s">
        <v>18</v>
      </c>
      <c r="E6" s="16" t="s">
        <v>19</v>
      </c>
      <c r="F6" s="17" t="s">
        <v>20</v>
      </c>
      <c r="G6" s="15" t="s">
        <v>25</v>
      </c>
      <c r="H6" s="15" t="s">
        <v>26</v>
      </c>
      <c r="I6" s="15" t="s">
        <v>27</v>
      </c>
      <c r="J6" s="15"/>
      <c r="K6" s="18"/>
      <c r="L6" s="18"/>
      <c r="M6" s="19">
        <f t="shared" ref="M6:M28" si="0">M5+L6</f>
        <v>4</v>
      </c>
    </row>
    <row r="7" spans="1:13" ht="39.75" customHeight="1" x14ac:dyDescent="0.3">
      <c r="A7" s="14" t="s">
        <v>15</v>
      </c>
      <c r="B7" s="15" t="s">
        <v>28</v>
      </c>
      <c r="C7" s="15" t="s">
        <v>29</v>
      </c>
      <c r="D7" s="15" t="s">
        <v>30</v>
      </c>
      <c r="E7" s="20" t="s">
        <v>31</v>
      </c>
      <c r="F7" s="17" t="s">
        <v>32</v>
      </c>
      <c r="G7" s="15" t="s">
        <v>33</v>
      </c>
      <c r="H7" s="15" t="s">
        <v>34</v>
      </c>
      <c r="I7" s="15" t="s">
        <v>35</v>
      </c>
      <c r="J7" s="15"/>
      <c r="K7" s="18"/>
      <c r="L7" s="18"/>
      <c r="M7" s="19">
        <f t="shared" si="0"/>
        <v>4</v>
      </c>
    </row>
    <row r="8" spans="1:13" ht="39.75" customHeight="1" x14ac:dyDescent="0.3">
      <c r="A8" s="14" t="s">
        <v>15</v>
      </c>
      <c r="B8" s="15" t="s">
        <v>36</v>
      </c>
      <c r="C8" s="15" t="s">
        <v>17</v>
      </c>
      <c r="D8" s="15" t="s">
        <v>30</v>
      </c>
      <c r="E8" s="20" t="s">
        <v>31</v>
      </c>
      <c r="F8" s="17" t="s">
        <v>32</v>
      </c>
      <c r="G8" s="15" t="s">
        <v>37</v>
      </c>
      <c r="H8" s="15" t="s">
        <v>38</v>
      </c>
      <c r="I8" s="15" t="s">
        <v>39</v>
      </c>
      <c r="J8" s="15"/>
      <c r="K8" s="18"/>
      <c r="L8" s="18"/>
      <c r="M8" s="19">
        <f t="shared" si="0"/>
        <v>4</v>
      </c>
    </row>
    <row r="9" spans="1:13" ht="39.75" customHeight="1" x14ac:dyDescent="0.3">
      <c r="A9" s="14" t="s">
        <v>40</v>
      </c>
      <c r="B9" s="15" t="s">
        <v>41</v>
      </c>
      <c r="C9" s="15" t="s">
        <v>17</v>
      </c>
      <c r="D9" s="15" t="s">
        <v>30</v>
      </c>
      <c r="E9" s="20" t="s">
        <v>31</v>
      </c>
      <c r="F9" s="17" t="s">
        <v>32</v>
      </c>
      <c r="G9" s="15" t="s">
        <v>42</v>
      </c>
      <c r="H9" s="15" t="s">
        <v>43</v>
      </c>
      <c r="I9" s="15" t="s">
        <v>44</v>
      </c>
      <c r="J9" s="15"/>
      <c r="K9" s="18"/>
      <c r="L9" s="18"/>
      <c r="M9" s="19">
        <f t="shared" si="0"/>
        <v>4</v>
      </c>
    </row>
    <row r="10" spans="1:13" ht="39.75" customHeight="1" x14ac:dyDescent="0.3">
      <c r="A10" s="14" t="s">
        <v>40</v>
      </c>
      <c r="B10" s="21" t="s">
        <v>45</v>
      </c>
      <c r="C10" s="15" t="s">
        <v>17</v>
      </c>
      <c r="D10" s="15" t="s">
        <v>30</v>
      </c>
      <c r="E10" s="20" t="s">
        <v>31</v>
      </c>
      <c r="F10" s="17" t="s">
        <v>32</v>
      </c>
      <c r="G10" s="15" t="s">
        <v>42</v>
      </c>
      <c r="H10" s="15" t="s">
        <v>46</v>
      </c>
      <c r="I10" s="15" t="s">
        <v>47</v>
      </c>
      <c r="J10" s="15"/>
      <c r="K10" s="18"/>
      <c r="L10" s="18"/>
      <c r="M10" s="19">
        <f t="shared" si="0"/>
        <v>4</v>
      </c>
    </row>
    <row r="11" spans="1:13" ht="39.75" customHeight="1" x14ac:dyDescent="0.3">
      <c r="A11" s="14" t="s">
        <v>40</v>
      </c>
      <c r="B11" s="15" t="s">
        <v>48</v>
      </c>
      <c r="C11" s="15" t="s">
        <v>17</v>
      </c>
      <c r="D11" s="15" t="s">
        <v>30</v>
      </c>
      <c r="E11" s="20" t="s">
        <v>31</v>
      </c>
      <c r="F11" s="17" t="s">
        <v>32</v>
      </c>
      <c r="G11" s="15" t="s">
        <v>42</v>
      </c>
      <c r="H11" s="15" t="s">
        <v>49</v>
      </c>
      <c r="I11" s="15" t="s">
        <v>50</v>
      </c>
      <c r="J11" s="15"/>
      <c r="K11" s="18"/>
      <c r="L11" s="18"/>
      <c r="M11" s="19">
        <f t="shared" si="0"/>
        <v>4</v>
      </c>
    </row>
    <row r="12" spans="1:13" ht="39.75" customHeight="1" x14ac:dyDescent="0.3">
      <c r="A12" s="14" t="s">
        <v>40</v>
      </c>
      <c r="B12" s="15" t="s">
        <v>51</v>
      </c>
      <c r="C12" s="15" t="s">
        <v>17</v>
      </c>
      <c r="D12" s="15" t="s">
        <v>30</v>
      </c>
      <c r="E12" s="20" t="s">
        <v>31</v>
      </c>
      <c r="F12" s="17" t="s">
        <v>32</v>
      </c>
      <c r="G12" s="15" t="s">
        <v>42</v>
      </c>
      <c r="H12" s="15" t="s">
        <v>52</v>
      </c>
      <c r="I12" s="15" t="s">
        <v>53</v>
      </c>
      <c r="J12" s="15"/>
      <c r="K12" s="18"/>
      <c r="L12" s="18"/>
      <c r="M12" s="19">
        <f t="shared" si="0"/>
        <v>4</v>
      </c>
    </row>
    <row r="13" spans="1:13" ht="39.75" customHeight="1" x14ac:dyDescent="0.3">
      <c r="A13" s="14" t="s">
        <v>40</v>
      </c>
      <c r="B13" s="15" t="s">
        <v>54</v>
      </c>
      <c r="C13" s="15" t="s">
        <v>17</v>
      </c>
      <c r="D13" s="15" t="s">
        <v>30</v>
      </c>
      <c r="E13" s="20" t="s">
        <v>31</v>
      </c>
      <c r="F13" s="17" t="s">
        <v>32</v>
      </c>
      <c r="G13" s="15" t="s">
        <v>55</v>
      </c>
      <c r="H13" s="15" t="s">
        <v>56</v>
      </c>
      <c r="I13" s="15" t="s">
        <v>57</v>
      </c>
      <c r="J13" s="15"/>
      <c r="K13" s="18"/>
      <c r="L13" s="18"/>
      <c r="M13" s="19">
        <f t="shared" si="0"/>
        <v>4</v>
      </c>
    </row>
    <row r="14" spans="1:13" ht="39.75" customHeight="1" x14ac:dyDescent="0.3">
      <c r="A14" s="14" t="s">
        <v>40</v>
      </c>
      <c r="B14" s="15" t="s">
        <v>58</v>
      </c>
      <c r="C14" s="15" t="s">
        <v>59</v>
      </c>
      <c r="D14" s="15" t="s">
        <v>30</v>
      </c>
      <c r="E14" s="20" t="s">
        <v>31</v>
      </c>
      <c r="F14" s="17" t="s">
        <v>32</v>
      </c>
      <c r="G14" s="15" t="s">
        <v>60</v>
      </c>
      <c r="H14" s="15" t="s">
        <v>61</v>
      </c>
      <c r="I14" s="15" t="s">
        <v>62</v>
      </c>
      <c r="J14" s="15"/>
      <c r="K14" s="18"/>
      <c r="L14" s="18"/>
      <c r="M14" s="19">
        <f t="shared" si="0"/>
        <v>4</v>
      </c>
    </row>
    <row r="15" spans="1:13" ht="39.75" customHeight="1" x14ac:dyDescent="0.3">
      <c r="A15" s="14" t="s">
        <v>40</v>
      </c>
      <c r="B15" s="15" t="s">
        <v>63</v>
      </c>
      <c r="C15" s="15" t="s">
        <v>17</v>
      </c>
      <c r="D15" s="15" t="s">
        <v>30</v>
      </c>
      <c r="E15" s="20" t="s">
        <v>31</v>
      </c>
      <c r="F15" s="17" t="s">
        <v>32</v>
      </c>
      <c r="G15" s="15" t="s">
        <v>64</v>
      </c>
      <c r="H15" s="15" t="s">
        <v>65</v>
      </c>
      <c r="I15" s="15" t="s">
        <v>66</v>
      </c>
      <c r="J15" s="15"/>
      <c r="K15" s="18"/>
      <c r="L15" s="18"/>
      <c r="M15" s="19">
        <f t="shared" si="0"/>
        <v>4</v>
      </c>
    </row>
    <row r="16" spans="1:13" ht="39.75" customHeight="1" x14ac:dyDescent="0.3">
      <c r="A16" s="14" t="s">
        <v>67</v>
      </c>
      <c r="B16" s="15" t="s">
        <v>68</v>
      </c>
      <c r="C16" s="15" t="s">
        <v>29</v>
      </c>
      <c r="D16" s="15" t="s">
        <v>30</v>
      </c>
      <c r="E16" s="20" t="s">
        <v>31</v>
      </c>
      <c r="F16" s="17" t="s">
        <v>32</v>
      </c>
      <c r="G16" s="15" t="s">
        <v>69</v>
      </c>
      <c r="H16" s="15" t="s">
        <v>70</v>
      </c>
      <c r="I16" s="15" t="s">
        <v>71</v>
      </c>
      <c r="J16" s="15"/>
      <c r="K16" s="18"/>
      <c r="L16" s="18"/>
      <c r="M16" s="19">
        <f t="shared" si="0"/>
        <v>4</v>
      </c>
    </row>
    <row r="17" spans="1:13" ht="39.75" customHeight="1" x14ac:dyDescent="0.3">
      <c r="A17" s="14" t="s">
        <v>67</v>
      </c>
      <c r="B17" s="15" t="s">
        <v>72</v>
      </c>
      <c r="C17" s="15" t="s">
        <v>29</v>
      </c>
      <c r="D17" s="15" t="s">
        <v>30</v>
      </c>
      <c r="E17" s="20" t="s">
        <v>31</v>
      </c>
      <c r="F17" s="17" t="s">
        <v>32</v>
      </c>
      <c r="G17" s="15" t="s">
        <v>69</v>
      </c>
      <c r="H17" s="15" t="s">
        <v>70</v>
      </c>
      <c r="I17" s="15" t="s">
        <v>73</v>
      </c>
      <c r="J17" s="15"/>
      <c r="K17" s="18"/>
      <c r="L17" s="18"/>
      <c r="M17" s="19">
        <f t="shared" si="0"/>
        <v>4</v>
      </c>
    </row>
    <row r="18" spans="1:13" ht="39.75" customHeight="1" x14ac:dyDescent="0.3">
      <c r="A18" s="14" t="s">
        <v>67</v>
      </c>
      <c r="B18" s="15" t="s">
        <v>74</v>
      </c>
      <c r="C18" s="15" t="s">
        <v>29</v>
      </c>
      <c r="D18" s="15" t="s">
        <v>30</v>
      </c>
      <c r="E18" s="20" t="s">
        <v>31</v>
      </c>
      <c r="F18" s="17" t="s">
        <v>32</v>
      </c>
      <c r="G18" s="15" t="s">
        <v>69</v>
      </c>
      <c r="H18" s="15" t="s">
        <v>70</v>
      </c>
      <c r="I18" s="15" t="s">
        <v>75</v>
      </c>
      <c r="J18" s="15"/>
      <c r="K18" s="18"/>
      <c r="L18" s="18"/>
      <c r="M18" s="19">
        <f t="shared" si="0"/>
        <v>4</v>
      </c>
    </row>
    <row r="19" spans="1:13" ht="39.75" customHeight="1" x14ac:dyDescent="0.3">
      <c r="A19" s="14" t="s">
        <v>67</v>
      </c>
      <c r="B19" s="15" t="s">
        <v>76</v>
      </c>
      <c r="C19" s="15" t="s">
        <v>29</v>
      </c>
      <c r="D19" s="15" t="s">
        <v>30</v>
      </c>
      <c r="E19" s="20" t="s">
        <v>31</v>
      </c>
      <c r="F19" s="17" t="s">
        <v>32</v>
      </c>
      <c r="G19" s="15" t="s">
        <v>69</v>
      </c>
      <c r="H19" s="15" t="s">
        <v>70</v>
      </c>
      <c r="I19" s="15" t="s">
        <v>77</v>
      </c>
      <c r="J19" s="15"/>
      <c r="K19" s="18"/>
      <c r="L19" s="18"/>
      <c r="M19" s="19">
        <f t="shared" si="0"/>
        <v>4</v>
      </c>
    </row>
    <row r="20" spans="1:13" ht="39.75" customHeight="1" x14ac:dyDescent="0.3">
      <c r="A20" s="14" t="s">
        <v>67</v>
      </c>
      <c r="B20" s="15" t="s">
        <v>78</v>
      </c>
      <c r="C20" s="15" t="s">
        <v>17</v>
      </c>
      <c r="D20" s="15" t="s">
        <v>30</v>
      </c>
      <c r="E20" s="20" t="s">
        <v>31</v>
      </c>
      <c r="F20" s="17" t="s">
        <v>32</v>
      </c>
      <c r="G20" s="15" t="s">
        <v>69</v>
      </c>
      <c r="H20" s="15" t="s">
        <v>79</v>
      </c>
      <c r="I20" s="15" t="s">
        <v>80</v>
      </c>
      <c r="J20" s="15"/>
      <c r="K20" s="18"/>
      <c r="L20" s="18"/>
      <c r="M20" s="19">
        <f t="shared" si="0"/>
        <v>4</v>
      </c>
    </row>
    <row r="21" spans="1:13" ht="39.75" customHeight="1" x14ac:dyDescent="0.3">
      <c r="A21" s="14" t="s">
        <v>67</v>
      </c>
      <c r="B21" s="15" t="s">
        <v>81</v>
      </c>
      <c r="C21" s="15" t="s">
        <v>82</v>
      </c>
      <c r="D21" s="15" t="s">
        <v>30</v>
      </c>
      <c r="E21" s="20" t="s">
        <v>31</v>
      </c>
      <c r="F21" s="17" t="s">
        <v>32</v>
      </c>
      <c r="G21" s="15" t="s">
        <v>83</v>
      </c>
      <c r="H21" s="15" t="s">
        <v>84</v>
      </c>
      <c r="I21" s="15" t="s">
        <v>85</v>
      </c>
      <c r="J21" s="15"/>
      <c r="K21" s="18"/>
      <c r="L21" s="18"/>
      <c r="M21" s="19">
        <f t="shared" si="0"/>
        <v>4</v>
      </c>
    </row>
    <row r="22" spans="1:13" ht="39.75" customHeight="1" x14ac:dyDescent="0.3">
      <c r="A22" s="14" t="s">
        <v>86</v>
      </c>
      <c r="B22" s="15" t="s">
        <v>87</v>
      </c>
      <c r="C22" s="15" t="s">
        <v>17</v>
      </c>
      <c r="D22" s="15" t="s">
        <v>30</v>
      </c>
      <c r="E22" s="20" t="s">
        <v>31</v>
      </c>
      <c r="F22" s="17" t="s">
        <v>32</v>
      </c>
      <c r="G22" s="15" t="s">
        <v>88</v>
      </c>
      <c r="H22" s="15" t="s">
        <v>89</v>
      </c>
      <c r="I22" s="15" t="s">
        <v>90</v>
      </c>
      <c r="J22" s="15"/>
      <c r="K22" s="18"/>
      <c r="L22" s="18"/>
      <c r="M22" s="19">
        <f t="shared" si="0"/>
        <v>4</v>
      </c>
    </row>
    <row r="23" spans="1:13" ht="39.75" customHeight="1" x14ac:dyDescent="0.3">
      <c r="A23" s="14" t="s">
        <v>86</v>
      </c>
      <c r="B23" s="15" t="s">
        <v>91</v>
      </c>
      <c r="C23" s="15" t="s">
        <v>92</v>
      </c>
      <c r="D23" s="15" t="s">
        <v>30</v>
      </c>
      <c r="E23" s="20" t="s">
        <v>31</v>
      </c>
      <c r="F23" s="17" t="s">
        <v>32</v>
      </c>
      <c r="G23" s="15" t="s">
        <v>93</v>
      </c>
      <c r="H23" s="15" t="s">
        <v>94</v>
      </c>
      <c r="I23" s="15" t="s">
        <v>95</v>
      </c>
      <c r="J23" s="15"/>
      <c r="K23" s="18"/>
      <c r="L23" s="18"/>
      <c r="M23" s="19">
        <f t="shared" si="0"/>
        <v>4</v>
      </c>
    </row>
    <row r="24" spans="1:13" ht="39.75" customHeight="1" x14ac:dyDescent="0.3">
      <c r="A24" s="14" t="s">
        <v>86</v>
      </c>
      <c r="B24" s="15" t="s">
        <v>96</v>
      </c>
      <c r="C24" s="15" t="s">
        <v>97</v>
      </c>
      <c r="D24" s="15" t="s">
        <v>30</v>
      </c>
      <c r="E24" s="20" t="s">
        <v>31</v>
      </c>
      <c r="F24" s="17" t="s">
        <v>32</v>
      </c>
      <c r="G24" s="15" t="s">
        <v>98</v>
      </c>
      <c r="H24" s="15" t="s">
        <v>99</v>
      </c>
      <c r="I24" s="15" t="s">
        <v>100</v>
      </c>
      <c r="J24" s="15"/>
      <c r="K24" s="18"/>
      <c r="L24" s="18"/>
      <c r="M24" s="19">
        <f t="shared" si="0"/>
        <v>4</v>
      </c>
    </row>
    <row r="25" spans="1:13" ht="39.75" customHeight="1" x14ac:dyDescent="0.3">
      <c r="A25" s="14" t="s">
        <v>101</v>
      </c>
      <c r="B25" s="15" t="s">
        <v>102</v>
      </c>
      <c r="C25" s="15" t="s">
        <v>29</v>
      </c>
      <c r="D25" s="15" t="s">
        <v>30</v>
      </c>
      <c r="E25" s="20" t="s">
        <v>31</v>
      </c>
      <c r="F25" s="17" t="s">
        <v>32</v>
      </c>
      <c r="G25" s="15" t="s">
        <v>103</v>
      </c>
      <c r="H25" s="15" t="s">
        <v>104</v>
      </c>
      <c r="I25" s="15" t="s">
        <v>105</v>
      </c>
      <c r="J25" s="15"/>
      <c r="K25" s="18"/>
      <c r="L25" s="18"/>
      <c r="M25" s="19">
        <f t="shared" si="0"/>
        <v>4</v>
      </c>
    </row>
    <row r="26" spans="1:13" ht="39.75" customHeight="1" x14ac:dyDescent="0.3">
      <c r="A26" s="14" t="s">
        <v>101</v>
      </c>
      <c r="B26" s="15" t="s">
        <v>106</v>
      </c>
      <c r="C26" s="15" t="s">
        <v>17</v>
      </c>
      <c r="D26" s="15" t="s">
        <v>30</v>
      </c>
      <c r="E26" s="20" t="s">
        <v>31</v>
      </c>
      <c r="F26" s="17" t="s">
        <v>32</v>
      </c>
      <c r="G26" s="15" t="s">
        <v>107</v>
      </c>
      <c r="H26" s="15" t="s">
        <v>108</v>
      </c>
      <c r="I26" s="15" t="s">
        <v>109</v>
      </c>
      <c r="J26" s="15"/>
      <c r="K26" s="18"/>
      <c r="L26" s="18"/>
      <c r="M26" s="19">
        <f t="shared" si="0"/>
        <v>4</v>
      </c>
    </row>
    <row r="27" spans="1:13" ht="39.75" customHeight="1" x14ac:dyDescent="0.3">
      <c r="A27" s="14" t="s">
        <v>101</v>
      </c>
      <c r="B27" s="15" t="s">
        <v>110</v>
      </c>
      <c r="C27" s="15" t="s">
        <v>111</v>
      </c>
      <c r="D27" s="15" t="s">
        <v>30</v>
      </c>
      <c r="E27" s="20" t="s">
        <v>31</v>
      </c>
      <c r="F27" s="17" t="s">
        <v>32</v>
      </c>
      <c r="G27" s="15" t="s">
        <v>112</v>
      </c>
      <c r="H27" s="15" t="s">
        <v>113</v>
      </c>
      <c r="I27" s="15" t="s">
        <v>114</v>
      </c>
      <c r="J27" s="15"/>
      <c r="K27" s="18"/>
      <c r="L27" s="18"/>
      <c r="M27" s="19">
        <f t="shared" si="0"/>
        <v>4</v>
      </c>
    </row>
    <row r="28" spans="1:13" ht="39.75" customHeight="1" x14ac:dyDescent="0.3">
      <c r="A28" s="14" t="s">
        <v>101</v>
      </c>
      <c r="B28" s="15" t="s">
        <v>115</v>
      </c>
      <c r="C28" s="15" t="s">
        <v>17</v>
      </c>
      <c r="D28" s="15" t="s">
        <v>30</v>
      </c>
      <c r="E28" s="20" t="s">
        <v>31</v>
      </c>
      <c r="F28" s="17" t="s">
        <v>32</v>
      </c>
      <c r="G28" s="15" t="s">
        <v>64</v>
      </c>
      <c r="H28" s="15" t="s">
        <v>116</v>
      </c>
      <c r="I28" s="15" t="s">
        <v>117</v>
      </c>
      <c r="J28" s="15"/>
      <c r="K28" s="18"/>
      <c r="L28" s="18"/>
      <c r="M28" s="19">
        <f t="shared" si="0"/>
        <v>4</v>
      </c>
    </row>
    <row r="30" spans="1:13" x14ac:dyDescent="0.3">
      <c r="J30" s="50" t="s">
        <v>118</v>
      </c>
      <c r="K30" s="51">
        <f>SUM(K5:K28)</f>
        <v>0</v>
      </c>
      <c r="L30" s="51">
        <f>SUM(L5:L28)</f>
        <v>4</v>
      </c>
      <c r="M30" s="52">
        <f>M28</f>
        <v>4</v>
      </c>
    </row>
  </sheetData>
  <mergeCells count="2">
    <mergeCell ref="A1:J1"/>
    <mergeCell ref="A2:J2"/>
  </mergeCells>
  <pageMargins left="0.75" right="0.75" top="1" bottom="1" header="0.511811023622047" footer="0.511811023622047"/>
  <pageSetup scale="54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0"/>
  <sheetViews>
    <sheetView view="pageBreakPreview" topLeftCell="A42" zoomScale="112" zoomScaleNormal="100" zoomScalePageLayoutView="112" workbookViewId="0">
      <selection activeCell="B50" sqref="B50"/>
    </sheetView>
  </sheetViews>
  <sheetFormatPr defaultColWidth="8.6640625" defaultRowHeight="14.4" x14ac:dyDescent="0.3"/>
  <cols>
    <col min="1" max="1" width="11.77734375" customWidth="1"/>
    <col min="2" max="2" width="24" customWidth="1"/>
    <col min="3" max="3" width="15.77734375" customWidth="1"/>
    <col min="4" max="6" width="26.33203125" customWidth="1"/>
  </cols>
  <sheetData>
    <row r="1" spans="1:6" ht="17.25" customHeight="1" x14ac:dyDescent="0.3">
      <c r="A1" s="11" t="s">
        <v>119</v>
      </c>
      <c r="B1" s="11"/>
      <c r="C1" s="11"/>
      <c r="D1" s="11"/>
      <c r="E1" s="11"/>
      <c r="F1" s="11"/>
    </row>
    <row r="3" spans="1:6" x14ac:dyDescent="0.3">
      <c r="A3" s="22" t="s">
        <v>120</v>
      </c>
      <c r="B3" s="9">
        <v>46080</v>
      </c>
      <c r="C3" s="9"/>
      <c r="D3" s="9"/>
      <c r="E3" s="9"/>
      <c r="F3" s="9"/>
    </row>
    <row r="4" spans="1:6" x14ac:dyDescent="0.3">
      <c r="A4" s="22" t="s">
        <v>121</v>
      </c>
      <c r="B4" s="8" t="s">
        <v>122</v>
      </c>
      <c r="C4" s="8"/>
      <c r="D4" s="8"/>
      <c r="E4" s="8"/>
      <c r="F4" s="8"/>
    </row>
    <row r="5" spans="1:6" x14ac:dyDescent="0.3">
      <c r="A5" s="22" t="s">
        <v>123</v>
      </c>
      <c r="B5" s="7" t="s">
        <v>124</v>
      </c>
      <c r="C5" s="7"/>
      <c r="D5" s="7"/>
      <c r="E5" s="7"/>
      <c r="F5" s="7"/>
    </row>
    <row r="6" spans="1:6" x14ac:dyDescent="0.3">
      <c r="A6" s="22" t="s">
        <v>125</v>
      </c>
      <c r="B6" s="7" t="s">
        <v>126</v>
      </c>
      <c r="C6" s="7"/>
      <c r="D6" s="7"/>
      <c r="E6" s="7"/>
      <c r="F6" s="7"/>
    </row>
    <row r="8" spans="1:6" ht="15" customHeight="1" x14ac:dyDescent="0.3">
      <c r="A8" s="6" t="s">
        <v>127</v>
      </c>
      <c r="B8" s="6"/>
      <c r="C8" s="6"/>
      <c r="D8" s="6"/>
      <c r="E8" s="6"/>
      <c r="F8" s="6"/>
    </row>
    <row r="9" spans="1:6" x14ac:dyDescent="0.3">
      <c r="A9" s="12" t="s">
        <v>2</v>
      </c>
      <c r="B9" s="12" t="s">
        <v>128</v>
      </c>
      <c r="C9" s="12" t="s">
        <v>6</v>
      </c>
      <c r="D9" s="12" t="s">
        <v>129</v>
      </c>
      <c r="E9" s="12" t="s">
        <v>130</v>
      </c>
      <c r="F9" s="12" t="s">
        <v>131</v>
      </c>
    </row>
    <row r="10" spans="1:6" ht="49.5" customHeight="1" x14ac:dyDescent="0.3">
      <c r="A10" s="23">
        <v>1</v>
      </c>
      <c r="B10" s="24" t="s">
        <v>132</v>
      </c>
      <c r="C10" s="25" t="s">
        <v>19</v>
      </c>
      <c r="D10" s="24" t="s">
        <v>133</v>
      </c>
      <c r="E10" s="24" t="s">
        <v>134</v>
      </c>
      <c r="F10" s="24" t="s">
        <v>135</v>
      </c>
    </row>
    <row r="11" spans="1:6" ht="49.5" customHeight="1" x14ac:dyDescent="0.3">
      <c r="A11" s="23">
        <v>2</v>
      </c>
      <c r="B11" s="24" t="s">
        <v>136</v>
      </c>
      <c r="C11" s="26" t="s">
        <v>31</v>
      </c>
      <c r="D11" s="24" t="s">
        <v>21</v>
      </c>
      <c r="E11" s="24" t="s">
        <v>137</v>
      </c>
      <c r="F11" s="24" t="s">
        <v>138</v>
      </c>
    </row>
    <row r="12" spans="1:6" ht="49.5" customHeight="1" x14ac:dyDescent="0.3">
      <c r="A12" s="23">
        <v>3</v>
      </c>
      <c r="B12" s="27" t="s">
        <v>139</v>
      </c>
      <c r="C12" s="26" t="s">
        <v>31</v>
      </c>
      <c r="D12" s="24" t="s">
        <v>21</v>
      </c>
      <c r="E12" s="24" t="s">
        <v>140</v>
      </c>
      <c r="F12" s="24" t="s">
        <v>141</v>
      </c>
    </row>
    <row r="13" spans="1:6" ht="49.5" customHeight="1" x14ac:dyDescent="0.3">
      <c r="A13" s="23">
        <v>4</v>
      </c>
      <c r="B13" s="27" t="s">
        <v>142</v>
      </c>
      <c r="C13" s="26" t="s">
        <v>31</v>
      </c>
      <c r="D13" s="24" t="s">
        <v>21</v>
      </c>
      <c r="E13" s="24" t="s">
        <v>21</v>
      </c>
      <c r="F13" s="24" t="s">
        <v>143</v>
      </c>
    </row>
    <row r="14" spans="1:6" ht="49.5" customHeight="1" x14ac:dyDescent="0.3">
      <c r="A14" s="23">
        <v>5</v>
      </c>
      <c r="B14" s="27" t="s">
        <v>144</v>
      </c>
      <c r="C14" s="26" t="s">
        <v>31</v>
      </c>
      <c r="D14" s="24" t="s">
        <v>21</v>
      </c>
      <c r="E14" s="24" t="s">
        <v>21</v>
      </c>
      <c r="F14" s="24" t="s">
        <v>145</v>
      </c>
    </row>
    <row r="16" spans="1:6" x14ac:dyDescent="0.3">
      <c r="A16" s="5" t="s">
        <v>146</v>
      </c>
      <c r="B16" s="5"/>
      <c r="C16" s="5"/>
      <c r="D16" s="5"/>
      <c r="E16" s="5"/>
      <c r="F16" s="5"/>
    </row>
    <row r="17" spans="1:6" ht="14.25" customHeight="1" x14ac:dyDescent="0.3">
      <c r="A17" s="28">
        <v>1</v>
      </c>
      <c r="B17" s="4" t="s">
        <v>147</v>
      </c>
      <c r="C17" s="4"/>
      <c r="D17" s="4"/>
      <c r="E17" s="4"/>
      <c r="F17" s="4"/>
    </row>
    <row r="18" spans="1:6" ht="14.25" customHeight="1" x14ac:dyDescent="0.3">
      <c r="A18" s="28">
        <v>2</v>
      </c>
      <c r="B18" s="4" t="s">
        <v>148</v>
      </c>
      <c r="C18" s="4"/>
      <c r="D18" s="4"/>
      <c r="E18" s="4"/>
      <c r="F18" s="4"/>
    </row>
    <row r="19" spans="1:6" ht="14.25" customHeight="1" x14ac:dyDescent="0.3">
      <c r="A19" s="28">
        <v>3</v>
      </c>
      <c r="B19" s="4" t="s">
        <v>148</v>
      </c>
      <c r="C19" s="4"/>
      <c r="D19" s="4"/>
      <c r="E19" s="4"/>
      <c r="F19" s="4"/>
    </row>
    <row r="21" spans="1:6" x14ac:dyDescent="0.3">
      <c r="A21" s="3" t="s">
        <v>149</v>
      </c>
      <c r="B21" s="3"/>
      <c r="C21" s="3"/>
      <c r="D21" s="3"/>
      <c r="E21" s="3"/>
      <c r="F21" s="3"/>
    </row>
    <row r="22" spans="1:6" x14ac:dyDescent="0.3">
      <c r="A22" s="12" t="s">
        <v>150</v>
      </c>
      <c r="B22" s="12" t="s">
        <v>151</v>
      </c>
      <c r="C22" s="12" t="s">
        <v>4</v>
      </c>
      <c r="D22" s="12" t="s">
        <v>152</v>
      </c>
      <c r="E22" s="12" t="s">
        <v>153</v>
      </c>
      <c r="F22" s="12"/>
    </row>
    <row r="23" spans="1:6" ht="37.5" customHeight="1" x14ac:dyDescent="0.3">
      <c r="A23" s="29">
        <v>1</v>
      </c>
      <c r="B23" s="24" t="s">
        <v>154</v>
      </c>
      <c r="C23" s="24" t="s">
        <v>17</v>
      </c>
      <c r="D23" s="24" t="s">
        <v>155</v>
      </c>
      <c r="E23" s="30" t="s">
        <v>156</v>
      </c>
      <c r="F23" s="31"/>
    </row>
    <row r="24" spans="1:6" ht="37.5" customHeight="1" x14ac:dyDescent="0.3">
      <c r="A24" s="29">
        <v>2</v>
      </c>
      <c r="B24" s="24" t="s">
        <v>157</v>
      </c>
      <c r="C24" s="24" t="s">
        <v>29</v>
      </c>
      <c r="D24" s="24" t="s">
        <v>155</v>
      </c>
      <c r="E24" s="30" t="s">
        <v>156</v>
      </c>
      <c r="F24" s="31"/>
    </row>
    <row r="25" spans="1:6" ht="37.5" customHeight="1" x14ac:dyDescent="0.3">
      <c r="A25" s="29">
        <v>3</v>
      </c>
      <c r="B25" s="24" t="s">
        <v>158</v>
      </c>
      <c r="C25" s="24" t="s">
        <v>159</v>
      </c>
      <c r="D25" s="24" t="s">
        <v>155</v>
      </c>
      <c r="E25" s="32" t="s">
        <v>160</v>
      </c>
      <c r="F25" s="31"/>
    </row>
    <row r="26" spans="1:6" ht="37.5" customHeight="1" x14ac:dyDescent="0.3">
      <c r="A26" s="29">
        <v>4</v>
      </c>
      <c r="B26" s="24" t="s">
        <v>161</v>
      </c>
      <c r="C26" s="24" t="s">
        <v>162</v>
      </c>
      <c r="D26" s="24" t="s">
        <v>155</v>
      </c>
      <c r="E26" s="24"/>
      <c r="F26" s="31"/>
    </row>
    <row r="28" spans="1:6" x14ac:dyDescent="0.3">
      <c r="A28" s="2" t="s">
        <v>163</v>
      </c>
      <c r="B28" s="2"/>
      <c r="C28" s="2"/>
      <c r="D28" s="2"/>
      <c r="E28" s="2"/>
      <c r="F28" s="2"/>
    </row>
    <row r="29" spans="1:6" x14ac:dyDescent="0.3">
      <c r="A29" s="12" t="s">
        <v>150</v>
      </c>
      <c r="B29" s="12" t="s">
        <v>164</v>
      </c>
      <c r="C29" s="12" t="s">
        <v>165</v>
      </c>
      <c r="D29" s="12" t="s">
        <v>166</v>
      </c>
      <c r="E29" s="12" t="s">
        <v>4</v>
      </c>
      <c r="F29" s="12"/>
    </row>
    <row r="30" spans="1:6" ht="37.5" customHeight="1" x14ac:dyDescent="0.3">
      <c r="A30" s="29">
        <v>1</v>
      </c>
      <c r="B30" s="24" t="s">
        <v>167</v>
      </c>
      <c r="C30" s="24" t="s">
        <v>168</v>
      </c>
      <c r="D30" s="24" t="s">
        <v>169</v>
      </c>
      <c r="E30" s="24" t="s">
        <v>17</v>
      </c>
      <c r="F30" s="31"/>
    </row>
    <row r="31" spans="1:6" ht="37.5" customHeight="1" x14ac:dyDescent="0.3">
      <c r="A31" s="29">
        <v>2</v>
      </c>
      <c r="B31" s="24" t="s">
        <v>170</v>
      </c>
      <c r="C31" s="24" t="s">
        <v>171</v>
      </c>
      <c r="D31" s="24" t="s">
        <v>172</v>
      </c>
      <c r="E31" s="24" t="s">
        <v>173</v>
      </c>
      <c r="F31" s="31"/>
    </row>
    <row r="32" spans="1:6" ht="37.5" customHeight="1" x14ac:dyDescent="0.3">
      <c r="A32" s="29">
        <v>3</v>
      </c>
      <c r="B32" s="24" t="s">
        <v>174</v>
      </c>
      <c r="C32" s="24" t="s">
        <v>175</v>
      </c>
      <c r="D32" s="24" t="s">
        <v>176</v>
      </c>
      <c r="E32" s="24" t="s">
        <v>177</v>
      </c>
      <c r="F32" s="31"/>
    </row>
    <row r="33" spans="1:6" ht="37.5" customHeight="1" x14ac:dyDescent="0.3">
      <c r="A33" s="29">
        <v>4</v>
      </c>
      <c r="B33" s="24" t="s">
        <v>178</v>
      </c>
      <c r="C33" s="24"/>
      <c r="D33" s="24"/>
      <c r="E33" s="24"/>
      <c r="F33" s="31"/>
    </row>
    <row r="35" spans="1:6" x14ac:dyDescent="0.3">
      <c r="A35" s="1" t="s">
        <v>179</v>
      </c>
      <c r="B35" s="1"/>
      <c r="C35" s="1"/>
      <c r="D35" s="1"/>
      <c r="E35" s="1"/>
      <c r="F35" s="1"/>
    </row>
    <row r="36" spans="1:6" ht="16.5" customHeight="1" x14ac:dyDescent="0.3">
      <c r="A36" s="12" t="s">
        <v>150</v>
      </c>
      <c r="B36" s="12" t="s">
        <v>180</v>
      </c>
      <c r="C36" s="12" t="s">
        <v>181</v>
      </c>
      <c r="D36" s="12" t="s">
        <v>182</v>
      </c>
      <c r="E36" s="12"/>
      <c r="F36" s="12"/>
    </row>
    <row r="37" spans="1:6" ht="48" customHeight="1" x14ac:dyDescent="0.3">
      <c r="A37" s="29">
        <v>1</v>
      </c>
      <c r="B37" s="24" t="s">
        <v>183</v>
      </c>
      <c r="C37" s="24" t="s">
        <v>184</v>
      </c>
      <c r="D37" s="24" t="s">
        <v>155</v>
      </c>
      <c r="E37" s="31"/>
      <c r="F37" s="31"/>
    </row>
    <row r="38" spans="1:6" ht="48" customHeight="1" x14ac:dyDescent="0.3">
      <c r="A38" s="29">
        <v>2</v>
      </c>
      <c r="B38" s="24" t="s">
        <v>185</v>
      </c>
      <c r="C38" s="24" t="s">
        <v>186</v>
      </c>
      <c r="D38" s="24" t="s">
        <v>155</v>
      </c>
      <c r="E38" s="31"/>
      <c r="F38" s="31"/>
    </row>
    <row r="39" spans="1:6" ht="48" customHeight="1" x14ac:dyDescent="0.3">
      <c r="A39" s="29">
        <v>3</v>
      </c>
      <c r="B39" s="24" t="s">
        <v>187</v>
      </c>
      <c r="C39" s="24" t="s">
        <v>184</v>
      </c>
      <c r="D39" s="24" t="s">
        <v>155</v>
      </c>
      <c r="E39" s="31"/>
      <c r="F39" s="31"/>
    </row>
    <row r="41" spans="1:6" x14ac:dyDescent="0.3">
      <c r="A41" s="40" t="s">
        <v>188</v>
      </c>
      <c r="B41" s="40"/>
      <c r="C41" s="40"/>
      <c r="D41" s="40"/>
      <c r="E41" s="40"/>
      <c r="F41" s="40"/>
    </row>
    <row r="42" spans="1:6" x14ac:dyDescent="0.3">
      <c r="A42" s="42" t="s">
        <v>189</v>
      </c>
      <c r="B42" s="42" t="s">
        <v>190</v>
      </c>
      <c r="C42" s="42" t="s">
        <v>10</v>
      </c>
      <c r="D42" s="41"/>
      <c r="E42" s="41"/>
      <c r="F42" s="41"/>
    </row>
    <row r="43" spans="1:6" ht="39.6" customHeight="1" x14ac:dyDescent="0.3">
      <c r="A43" s="24" t="s">
        <v>191</v>
      </c>
      <c r="B43" s="43">
        <v>4</v>
      </c>
      <c r="C43" s="44"/>
      <c r="D43" s="44"/>
      <c r="E43" s="44"/>
      <c r="F43" s="44"/>
    </row>
    <row r="44" spans="1:6" ht="39.6" customHeight="1" x14ac:dyDescent="0.3">
      <c r="A44" s="24" t="s">
        <v>192</v>
      </c>
      <c r="B44" s="43">
        <v>0</v>
      </c>
      <c r="C44" s="44"/>
      <c r="D44" s="44"/>
      <c r="E44" s="44"/>
      <c r="F44" s="44"/>
    </row>
    <row r="45" spans="1:6" ht="39.6" customHeight="1" x14ac:dyDescent="0.3">
      <c r="A45" s="24" t="s">
        <v>193</v>
      </c>
      <c r="B45" s="43">
        <v>0</v>
      </c>
      <c r="C45" s="44"/>
      <c r="D45" s="44"/>
      <c r="E45" s="44"/>
      <c r="F45" s="44"/>
    </row>
    <row r="46" spans="1:6" ht="39.6" customHeight="1" x14ac:dyDescent="0.3">
      <c r="A46" s="24" t="s">
        <v>194</v>
      </c>
      <c r="B46" s="43">
        <v>0</v>
      </c>
      <c r="C46" s="44"/>
      <c r="D46" s="44"/>
      <c r="E46" s="44"/>
      <c r="F46" s="44"/>
    </row>
    <row r="47" spans="1:6" ht="39.6" customHeight="1" x14ac:dyDescent="0.3">
      <c r="A47" s="24" t="s">
        <v>195</v>
      </c>
      <c r="B47" s="43">
        <v>0</v>
      </c>
      <c r="C47" s="44"/>
      <c r="D47" s="44"/>
      <c r="E47" s="44"/>
      <c r="F47" s="44"/>
    </row>
    <row r="48" spans="1:6" ht="39.6" customHeight="1" x14ac:dyDescent="0.3">
      <c r="A48" s="24" t="s">
        <v>196</v>
      </c>
      <c r="B48" s="43">
        <v>0</v>
      </c>
      <c r="C48" s="44"/>
      <c r="D48" s="44"/>
      <c r="E48" s="44"/>
      <c r="F48" s="44"/>
    </row>
    <row r="49" spans="1:6" ht="39.6" customHeight="1" x14ac:dyDescent="0.3">
      <c r="A49" s="45" t="s">
        <v>197</v>
      </c>
      <c r="B49" s="46">
        <f>SUM(B43:B48)</f>
        <v>4</v>
      </c>
      <c r="C49" s="47"/>
      <c r="D49" s="47"/>
      <c r="E49" s="47"/>
      <c r="F49" s="47"/>
    </row>
    <row r="50" spans="1:6" ht="39.6" customHeight="1" x14ac:dyDescent="0.3">
      <c r="A50" s="32" t="s">
        <v>198</v>
      </c>
      <c r="B50" s="48"/>
      <c r="C50" s="49" t="s">
        <v>199</v>
      </c>
      <c r="D50" s="49"/>
      <c r="E50" s="49"/>
      <c r="F50" s="49"/>
    </row>
  </sheetData>
  <mergeCells count="22">
    <mergeCell ref="C49:F49"/>
    <mergeCell ref="C50:F50"/>
    <mergeCell ref="C44:F44"/>
    <mergeCell ref="C45:F45"/>
    <mergeCell ref="C46:F46"/>
    <mergeCell ref="C47:F47"/>
    <mergeCell ref="C48:F48"/>
    <mergeCell ref="A21:F21"/>
    <mergeCell ref="A28:F28"/>
    <mergeCell ref="A35:F35"/>
    <mergeCell ref="A41:F41"/>
    <mergeCell ref="C43:F43"/>
    <mergeCell ref="A8:F8"/>
    <mergeCell ref="A16:F16"/>
    <mergeCell ref="B17:F17"/>
    <mergeCell ref="B18:F18"/>
    <mergeCell ref="B19:F19"/>
    <mergeCell ref="A1:F1"/>
    <mergeCell ref="B3:F3"/>
    <mergeCell ref="B4:F4"/>
    <mergeCell ref="B5:F5"/>
    <mergeCell ref="B6:F6"/>
  </mergeCells>
  <pageMargins left="0.75" right="0.75" top="1" bottom="1" header="0.511811023622047" footer="0.511811023622047"/>
  <pageSetup scale="6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view="pageBreakPreview" topLeftCell="A19" zoomScale="124" zoomScaleNormal="100" zoomScalePageLayoutView="124" workbookViewId="0">
      <selection activeCell="D4" sqref="D4"/>
    </sheetView>
  </sheetViews>
  <sheetFormatPr defaultColWidth="8.6640625" defaultRowHeight="14.4" x14ac:dyDescent="0.3"/>
  <cols>
    <col min="1" max="1" width="8" customWidth="1"/>
    <col min="2" max="2" width="14" customWidth="1"/>
    <col min="3" max="3" width="8" customWidth="1"/>
    <col min="4" max="4" width="45" customWidth="1"/>
    <col min="5" max="5" width="30" customWidth="1"/>
    <col min="6" max="6" width="14" customWidth="1"/>
    <col min="7" max="7" width="8" customWidth="1"/>
    <col min="8" max="8" width="14" customWidth="1"/>
  </cols>
  <sheetData>
    <row r="1" spans="1:8" ht="17.25" customHeight="1" x14ac:dyDescent="0.3">
      <c r="A1" s="39" t="s">
        <v>200</v>
      </c>
      <c r="B1" s="39"/>
      <c r="C1" s="39"/>
      <c r="D1" s="39"/>
      <c r="E1" s="39"/>
      <c r="F1" s="39"/>
      <c r="G1" s="39"/>
    </row>
    <row r="3" spans="1:8" ht="26.4" x14ac:dyDescent="0.3">
      <c r="A3" s="12" t="s">
        <v>201</v>
      </c>
      <c r="B3" s="12" t="s">
        <v>202</v>
      </c>
      <c r="C3" s="12" t="s">
        <v>2</v>
      </c>
      <c r="D3" s="12" t="s">
        <v>203</v>
      </c>
      <c r="E3" s="12" t="s">
        <v>204</v>
      </c>
      <c r="F3" s="12" t="s">
        <v>205</v>
      </c>
      <c r="G3" s="12" t="s">
        <v>190</v>
      </c>
      <c r="H3" s="13" t="s">
        <v>14</v>
      </c>
    </row>
    <row r="4" spans="1:8" ht="36.6" customHeight="1" x14ac:dyDescent="0.3">
      <c r="A4" s="24" t="s">
        <v>15</v>
      </c>
      <c r="B4" s="24" t="s">
        <v>18</v>
      </c>
      <c r="C4" s="24" t="s">
        <v>15</v>
      </c>
      <c r="D4" s="24" t="s">
        <v>206</v>
      </c>
      <c r="E4" s="24" t="s">
        <v>207</v>
      </c>
      <c r="F4" s="25" t="s">
        <v>208</v>
      </c>
      <c r="G4" s="33"/>
      <c r="H4" s="34">
        <f>G4</f>
        <v>0</v>
      </c>
    </row>
    <row r="5" spans="1:8" x14ac:dyDescent="0.3">
      <c r="A5" s="35"/>
      <c r="B5" s="35"/>
      <c r="C5" s="35"/>
      <c r="D5" s="35"/>
      <c r="E5" s="35"/>
      <c r="F5" s="35"/>
      <c r="G5" s="36"/>
      <c r="H5" s="34">
        <f t="shared" ref="H5:H29" si="0">H4+G5</f>
        <v>0</v>
      </c>
    </row>
    <row r="6" spans="1:8" x14ac:dyDescent="0.3">
      <c r="A6" s="35"/>
      <c r="B6" s="35"/>
      <c r="C6" s="35"/>
      <c r="D6" s="35"/>
      <c r="E6" s="35"/>
      <c r="F6" s="35"/>
      <c r="G6" s="36"/>
      <c r="H6" s="34">
        <f t="shared" si="0"/>
        <v>0</v>
      </c>
    </row>
    <row r="7" spans="1:8" x14ac:dyDescent="0.3">
      <c r="A7" s="35"/>
      <c r="B7" s="35"/>
      <c r="C7" s="35"/>
      <c r="D7" s="35"/>
      <c r="E7" s="35"/>
      <c r="F7" s="35"/>
      <c r="G7" s="36"/>
      <c r="H7" s="34">
        <f t="shared" si="0"/>
        <v>0</v>
      </c>
    </row>
    <row r="8" spans="1:8" x14ac:dyDescent="0.3">
      <c r="A8" s="35"/>
      <c r="B8" s="35"/>
      <c r="C8" s="35"/>
      <c r="D8" s="35"/>
      <c r="E8" s="35"/>
      <c r="F8" s="35"/>
      <c r="G8" s="36"/>
      <c r="H8" s="34">
        <f t="shared" si="0"/>
        <v>0</v>
      </c>
    </row>
    <row r="9" spans="1:8" x14ac:dyDescent="0.3">
      <c r="A9" s="35"/>
      <c r="B9" s="35"/>
      <c r="C9" s="35"/>
      <c r="D9" s="35"/>
      <c r="E9" s="35"/>
      <c r="F9" s="35"/>
      <c r="G9" s="36"/>
      <c r="H9" s="34">
        <f t="shared" si="0"/>
        <v>0</v>
      </c>
    </row>
    <row r="10" spans="1:8" x14ac:dyDescent="0.3">
      <c r="A10" s="35"/>
      <c r="B10" s="35"/>
      <c r="C10" s="35"/>
      <c r="D10" s="35"/>
      <c r="E10" s="35"/>
      <c r="F10" s="35"/>
      <c r="G10" s="36"/>
      <c r="H10" s="34">
        <f t="shared" si="0"/>
        <v>0</v>
      </c>
    </row>
    <row r="11" spans="1:8" x14ac:dyDescent="0.3">
      <c r="A11" s="35"/>
      <c r="B11" s="35"/>
      <c r="C11" s="35"/>
      <c r="D11" s="35"/>
      <c r="E11" s="35"/>
      <c r="F11" s="35"/>
      <c r="G11" s="36"/>
      <c r="H11" s="34">
        <f t="shared" si="0"/>
        <v>0</v>
      </c>
    </row>
    <row r="12" spans="1:8" x14ac:dyDescent="0.3">
      <c r="A12" s="35"/>
      <c r="B12" s="35"/>
      <c r="C12" s="35"/>
      <c r="D12" s="35"/>
      <c r="E12" s="35"/>
      <c r="F12" s="35"/>
      <c r="G12" s="36"/>
      <c r="H12" s="34">
        <f t="shared" si="0"/>
        <v>0</v>
      </c>
    </row>
    <row r="13" spans="1:8" x14ac:dyDescent="0.3">
      <c r="A13" s="35"/>
      <c r="B13" s="35"/>
      <c r="C13" s="35"/>
      <c r="D13" s="35"/>
      <c r="E13" s="35"/>
      <c r="F13" s="35"/>
      <c r="G13" s="36"/>
      <c r="H13" s="34">
        <f t="shared" si="0"/>
        <v>0</v>
      </c>
    </row>
    <row r="14" spans="1:8" x14ac:dyDescent="0.3">
      <c r="A14" s="35"/>
      <c r="B14" s="35"/>
      <c r="C14" s="35"/>
      <c r="D14" s="35"/>
      <c r="E14" s="35"/>
      <c r="F14" s="35"/>
      <c r="G14" s="36"/>
      <c r="H14" s="34">
        <f t="shared" si="0"/>
        <v>0</v>
      </c>
    </row>
    <row r="15" spans="1:8" x14ac:dyDescent="0.3">
      <c r="A15" s="35"/>
      <c r="B15" s="35"/>
      <c r="C15" s="35"/>
      <c r="D15" s="35"/>
      <c r="E15" s="35"/>
      <c r="F15" s="35"/>
      <c r="G15" s="36"/>
      <c r="H15" s="34">
        <f t="shared" si="0"/>
        <v>0</v>
      </c>
    </row>
    <row r="16" spans="1:8" x14ac:dyDescent="0.3">
      <c r="A16" s="35"/>
      <c r="B16" s="35"/>
      <c r="C16" s="35"/>
      <c r="D16" s="35"/>
      <c r="E16" s="35"/>
      <c r="F16" s="35"/>
      <c r="G16" s="36"/>
      <c r="H16" s="34">
        <f t="shared" si="0"/>
        <v>0</v>
      </c>
    </row>
    <row r="17" spans="1:8" x14ac:dyDescent="0.3">
      <c r="A17" s="35"/>
      <c r="B17" s="35"/>
      <c r="C17" s="35"/>
      <c r="D17" s="35"/>
      <c r="E17" s="35"/>
      <c r="F17" s="35"/>
      <c r="G17" s="36"/>
      <c r="H17" s="34">
        <f t="shared" si="0"/>
        <v>0</v>
      </c>
    </row>
    <row r="18" spans="1:8" x14ac:dyDescent="0.3">
      <c r="A18" s="35"/>
      <c r="B18" s="35"/>
      <c r="C18" s="35"/>
      <c r="D18" s="35"/>
      <c r="E18" s="35"/>
      <c r="F18" s="35"/>
      <c r="G18" s="36"/>
      <c r="H18" s="34">
        <f t="shared" si="0"/>
        <v>0</v>
      </c>
    </row>
    <row r="19" spans="1:8" x14ac:dyDescent="0.3">
      <c r="A19" s="35"/>
      <c r="B19" s="35"/>
      <c r="C19" s="35"/>
      <c r="D19" s="35"/>
      <c r="E19" s="35"/>
      <c r="F19" s="35"/>
      <c r="G19" s="36"/>
      <c r="H19" s="34">
        <f t="shared" si="0"/>
        <v>0</v>
      </c>
    </row>
    <row r="20" spans="1:8" x14ac:dyDescent="0.3">
      <c r="A20" s="35"/>
      <c r="B20" s="35"/>
      <c r="C20" s="35"/>
      <c r="D20" s="35"/>
      <c r="E20" s="35"/>
      <c r="F20" s="35"/>
      <c r="G20" s="36"/>
      <c r="H20" s="34">
        <f t="shared" si="0"/>
        <v>0</v>
      </c>
    </row>
    <row r="21" spans="1:8" x14ac:dyDescent="0.3">
      <c r="A21" s="35"/>
      <c r="B21" s="35"/>
      <c r="C21" s="35"/>
      <c r="D21" s="35"/>
      <c r="E21" s="35"/>
      <c r="F21" s="35"/>
      <c r="G21" s="36"/>
      <c r="H21" s="34">
        <f t="shared" si="0"/>
        <v>0</v>
      </c>
    </row>
    <row r="22" spans="1:8" x14ac:dyDescent="0.3">
      <c r="A22" s="35"/>
      <c r="B22" s="35"/>
      <c r="C22" s="35"/>
      <c r="D22" s="35"/>
      <c r="E22" s="35"/>
      <c r="F22" s="35"/>
      <c r="G22" s="36"/>
      <c r="H22" s="34">
        <f t="shared" si="0"/>
        <v>0</v>
      </c>
    </row>
    <row r="23" spans="1:8" x14ac:dyDescent="0.3">
      <c r="A23" s="35"/>
      <c r="B23" s="35"/>
      <c r="C23" s="35"/>
      <c r="D23" s="35"/>
      <c r="E23" s="35"/>
      <c r="F23" s="35"/>
      <c r="G23" s="36"/>
      <c r="H23" s="34">
        <f t="shared" si="0"/>
        <v>0</v>
      </c>
    </row>
    <row r="24" spans="1:8" x14ac:dyDescent="0.3">
      <c r="A24" s="35"/>
      <c r="B24" s="35"/>
      <c r="C24" s="35"/>
      <c r="D24" s="35"/>
      <c r="E24" s="35"/>
      <c r="F24" s="35"/>
      <c r="G24" s="36"/>
      <c r="H24" s="34">
        <f t="shared" si="0"/>
        <v>0</v>
      </c>
    </row>
    <row r="25" spans="1:8" x14ac:dyDescent="0.3">
      <c r="A25" s="35"/>
      <c r="B25" s="35"/>
      <c r="C25" s="35"/>
      <c r="D25" s="35"/>
      <c r="E25" s="35"/>
      <c r="F25" s="35"/>
      <c r="G25" s="36"/>
      <c r="H25" s="34">
        <f t="shared" si="0"/>
        <v>0</v>
      </c>
    </row>
    <row r="26" spans="1:8" x14ac:dyDescent="0.3">
      <c r="A26" s="35"/>
      <c r="B26" s="35"/>
      <c r="C26" s="35"/>
      <c r="D26" s="35"/>
      <c r="E26" s="35"/>
      <c r="F26" s="35"/>
      <c r="G26" s="36"/>
      <c r="H26" s="34">
        <f t="shared" si="0"/>
        <v>0</v>
      </c>
    </row>
    <row r="27" spans="1:8" x14ac:dyDescent="0.3">
      <c r="A27" s="35"/>
      <c r="B27" s="35"/>
      <c r="C27" s="35"/>
      <c r="D27" s="35"/>
      <c r="E27" s="35"/>
      <c r="F27" s="35"/>
      <c r="G27" s="36"/>
      <c r="H27" s="34">
        <f t="shared" si="0"/>
        <v>0</v>
      </c>
    </row>
    <row r="28" spans="1:8" x14ac:dyDescent="0.3">
      <c r="A28" s="35"/>
      <c r="B28" s="35"/>
      <c r="C28" s="35"/>
      <c r="D28" s="35"/>
      <c r="E28" s="35"/>
      <c r="F28" s="35"/>
      <c r="G28" s="36"/>
      <c r="H28" s="34">
        <f t="shared" si="0"/>
        <v>0</v>
      </c>
    </row>
    <row r="29" spans="1:8" x14ac:dyDescent="0.3">
      <c r="A29" s="35"/>
      <c r="B29" s="35"/>
      <c r="C29" s="35"/>
      <c r="D29" s="35"/>
      <c r="E29" s="35"/>
      <c r="F29" s="35"/>
      <c r="G29" s="36"/>
      <c r="H29" s="34">
        <f t="shared" si="0"/>
        <v>0</v>
      </c>
    </row>
    <row r="30" spans="1:8" x14ac:dyDescent="0.3">
      <c r="G30" s="37" t="s">
        <v>209</v>
      </c>
      <c r="H30" s="38">
        <f>SUM(G4:G29)</f>
        <v>0</v>
      </c>
    </row>
  </sheetData>
  <mergeCells count="1">
    <mergeCell ref="A1:G1"/>
  </mergeCells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Project Tracker</vt:lpstr>
      <vt:lpstr>Weekly Status Report</vt:lpstr>
      <vt:lpstr>Progress Log</vt:lpstr>
      <vt:lpstr>'Progress Log'!Print_Area</vt:lpstr>
      <vt:lpstr>'Project Tracker'!Print_Area</vt:lpstr>
      <vt:lpstr>'Weekly Status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Alan Richardson</cp:lastModifiedBy>
  <cp:revision>0</cp:revision>
  <dcterms:created xsi:type="dcterms:W3CDTF">2026-02-23T20:57:06Z</dcterms:created>
  <dcterms:modified xsi:type="dcterms:W3CDTF">2026-02-23T22:01:15Z</dcterms:modified>
  <dc:language>en-US</dc:language>
</cp:coreProperties>
</file>